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Cost Breakdown" sheetId="2" state="visible" r:id="rId4"/>
    <sheet name="Timeline &amp; Milestones" sheetId="3" state="visible" r:id="rId5"/>
    <sheet name="Budget Scenarios" sheetId="4" state="visible" r:id="rId6"/>
    <sheet name="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0" authorId="0">
      <text>
        <r>
          <rPr>
            <sz val="10"/>
            <rFont val="Arial"/>
            <family val="2"/>
          </rPr>
          <t xml:space="preserve">Key assumption: the 'as of' date for every status calculation in the workbook. Change it to move the project forward in time.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Key assumption: contingency applied to the line-item subtotal. Edit to test recalculation.</t>
        </r>
      </text>
    </comment>
  </commentList>
</comments>
</file>

<file path=xl/sharedStrings.xml><?xml version="1.0" encoding="utf-8"?>
<sst xmlns="http://schemas.openxmlformats.org/spreadsheetml/2006/main" count="204" uniqueCount="153">
  <si>
    <t xml:space="preserve">PROJECT ALPHA — Client Portal Modernization</t>
  </si>
  <si>
    <t xml:space="preserve">Project Proposal &amp; Status Report</t>
  </si>
  <si>
    <t xml:space="preserve">PROJECT DETAILS</t>
  </si>
  <si>
    <t xml:space="preserve">KEY METRICS</t>
  </si>
  <si>
    <t xml:space="preserve">Client</t>
  </si>
  <si>
    <t xml:space="preserve">Northwind Financial Group</t>
  </si>
  <si>
    <t xml:space="preserve">Total budget (incl. contingency)</t>
  </si>
  <si>
    <t xml:space="preserve">Executive sponsor</t>
  </si>
  <si>
    <t xml:space="preserve">Dana Whitfield, CFO</t>
  </si>
  <si>
    <t xml:space="preserve">Spent to date</t>
  </si>
  <si>
    <t xml:space="preserve">Project manager</t>
  </si>
  <si>
    <t xml:space="preserve">Jordan Lee</t>
  </si>
  <si>
    <t xml:space="preserve">Remaining budget</t>
  </si>
  <si>
    <t xml:space="preserve">Proposal date</t>
  </si>
  <si>
    <t xml:space="preserve">% of budget used</t>
  </si>
  <si>
    <t xml:space="preserve">Status date</t>
  </si>
  <si>
    <t xml:space="preserve">Overall % complete</t>
  </si>
  <si>
    <t xml:space="preserve">Planned start</t>
  </si>
  <si>
    <t xml:space="preserve">Milestones complete</t>
  </si>
  <si>
    <t xml:space="preserve">Planned finish</t>
  </si>
  <si>
    <t xml:space="preserve">Overdue phases</t>
  </si>
  <si>
    <t xml:space="preserve">Total duration</t>
  </si>
  <si>
    <t xml:space="preserve">Project health</t>
  </si>
  <si>
    <t xml:space="preserve">SCOPE &amp; OBJECTIVES</t>
  </si>
  <si>
    <t xml:space="preserve">1.</t>
  </si>
  <si>
    <t xml:space="preserve">Replace the legacy client portal with a modern web app that lets clients view, edit, and approve financial documents in the browser.</t>
  </si>
  <si>
    <t xml:space="preserve">2.</t>
  </si>
  <si>
    <t xml:space="preserve">Keep sensitive client files inside the application — no download-edit-reupload loop and no third-party processing.</t>
  </si>
  <si>
    <t xml:space="preserve">3.</t>
  </si>
  <si>
    <t xml:space="preserve">Cut average approval turnaround from 6 business days to 2 by Q3 2027.</t>
  </si>
  <si>
    <t xml:space="preserve">4.</t>
  </si>
  <si>
    <t xml:space="preserve">Launch to 1,200 client users with full training and a 2-week hypercare period.</t>
  </si>
  <si>
    <t xml:space="preserve">BUDGET SNAPSHOT BY CATEGORY</t>
  </si>
  <si>
    <t xml:space="preserve">APPROVALS</t>
  </si>
  <si>
    <t xml:space="preserve">Category</t>
  </si>
  <si>
    <t xml:space="preserve">Budget ($)</t>
  </si>
  <si>
    <t xml:space="preserve">Actual ($)</t>
  </si>
  <si>
    <t xml:space="preserve">% Spent</t>
  </si>
  <si>
    <t xml:space="preserve">Role</t>
  </si>
  <si>
    <t xml:space="preserve">Name</t>
  </si>
  <si>
    <t xml:space="preserve">Decision</t>
  </si>
  <si>
    <t xml:space="preserve">Dana Whitfield</t>
  </si>
  <si>
    <t xml:space="preserve">Approved</t>
  </si>
  <si>
    <t xml:space="preserve">IT security</t>
  </si>
  <si>
    <t xml:space="preserve">Kim Nguyen</t>
  </si>
  <si>
    <t xml:space="preserve">Finance</t>
  </si>
  <si>
    <t xml:space="preserve">Priya Shah</t>
  </si>
  <si>
    <t xml:space="preserve">Pending</t>
  </si>
  <si>
    <t xml:space="preserve">Fictional sample project created for product demo videos. Names, figures, and dates are illustrative.</t>
  </si>
  <si>
    <t xml:space="preserve">Color key: blue text = input · black = formula · green = linked from another sheet · yellow fill = key assumption</t>
  </si>
  <si>
    <t xml:space="preserve">Cost Breakdown</t>
  </si>
  <si>
    <t xml:space="preserve">Project Alpha — line-item budget, actuals to date, and monthly spend plan</t>
  </si>
  <si>
    <t xml:space="preserve">Contingency rate</t>
  </si>
  <si>
    <t xml:space="preserve">Line Item</t>
  </si>
  <si>
    <t xml:space="preserve">Qty</t>
  </si>
  <si>
    <t xml:space="preserve">Unit</t>
  </si>
  <si>
    <t xml:space="preserve">Unit Cost ($)</t>
  </si>
  <si>
    <t xml:space="preserve">Actual to Date ($)</t>
  </si>
  <si>
    <t xml:space="preserve">Variance ($)</t>
  </si>
  <si>
    <t xml:space="preserve">Labor</t>
  </si>
  <si>
    <t xml:space="preserve">Project management</t>
  </si>
  <si>
    <t xml:space="preserve">month</t>
  </si>
  <si>
    <t xml:space="preserve">UX/UI design</t>
  </si>
  <si>
    <t xml:space="preserve">week</t>
  </si>
  <si>
    <t xml:space="preserve">Front-end development</t>
  </si>
  <si>
    <t xml:space="preserve">Back-end &amp; integrations</t>
  </si>
  <si>
    <t xml:space="preserve">QA &amp; testing</t>
  </si>
  <si>
    <t xml:space="preserve">Software &amp; Licensing</t>
  </si>
  <si>
    <t xml:space="preserve">Document SDK license</t>
  </si>
  <si>
    <t xml:space="preserve">year</t>
  </si>
  <si>
    <t xml:space="preserve">Cloud hosting</t>
  </si>
  <si>
    <t xml:space="preserve">Monitoring &amp; logging</t>
  </si>
  <si>
    <t xml:space="preserve">Infrastructure</t>
  </si>
  <si>
    <t xml:space="preserve">Staging environment</t>
  </si>
  <si>
    <t xml:space="preserve">lot</t>
  </si>
  <si>
    <t xml:space="preserve">Load testing service</t>
  </si>
  <si>
    <t xml:space="preserve">Training &amp; Change</t>
  </si>
  <si>
    <t xml:space="preserve">Admin training sessions</t>
  </si>
  <si>
    <t xml:space="preserve">session</t>
  </si>
  <si>
    <t xml:space="preserve">User guides &amp; videos</t>
  </si>
  <si>
    <t xml:space="preserve">Professional Services</t>
  </si>
  <si>
    <t xml:space="preserve">Security audit</t>
  </si>
  <si>
    <t xml:space="preserve">Accessibility review</t>
  </si>
  <si>
    <t xml:space="preserve">Subtotal</t>
  </si>
  <si>
    <t xml:space="preserve">Contingency</t>
  </si>
  <si>
    <t xml:space="preserve">TOTAL PROJECT BUDGET</t>
  </si>
  <si>
    <t xml:space="preserve">BUDGET BY CATEGORY</t>
  </si>
  <si>
    <t xml:space="preserve">Total (before contingency)</t>
  </si>
  <si>
    <t xml:space="preserve">MONTHLY SPEND PLAN</t>
  </si>
  <si>
    <t xml:space="preserve">Month</t>
  </si>
  <si>
    <t xml:space="preserve">Phasing %</t>
  </si>
  <si>
    <t xml:space="preserve">Planned ($)</t>
  </si>
  <si>
    <t xml:space="preserve">Cum. Planned ($)</t>
  </si>
  <si>
    <t xml:space="preserve">Cum. Actual ($)</t>
  </si>
  <si>
    <t xml:space="preserve">Total</t>
  </si>
  <si>
    <t xml:space="preserve">Check: phasing = 100% and monthly actuals = line-item actuals</t>
  </si>
  <si>
    <t xml:space="preserve">Timeline &amp; Milestones</t>
  </si>
  <si>
    <t xml:space="preserve">Project Alpha — phase schedule, progress, and key milestones</t>
  </si>
  <si>
    <t xml:space="preserve">#</t>
  </si>
  <si>
    <t xml:space="preserve">Phase</t>
  </si>
  <si>
    <t xml:space="preserve">Owner</t>
  </si>
  <si>
    <t xml:space="preserve">Start</t>
  </si>
  <si>
    <t xml:space="preserve">End</t>
  </si>
  <si>
    <t xml:space="preserve">Duration (days)</t>
  </si>
  <si>
    <t xml:space="preserve">Working Days</t>
  </si>
  <si>
    <t xml:space="preserve">% Complete</t>
  </si>
  <si>
    <t xml:space="preserve">Status</t>
  </si>
  <si>
    <t xml:space="preserve">Discovery &amp; Requirements</t>
  </si>
  <si>
    <t xml:space="preserve">J. Lee</t>
  </si>
  <si>
    <t xml:space="preserve">UX/UI Design</t>
  </si>
  <si>
    <t xml:space="preserve">M. Okafor</t>
  </si>
  <si>
    <t xml:space="preserve">Front-end Build</t>
  </si>
  <si>
    <t xml:space="preserve">S. Patel</t>
  </si>
  <si>
    <t xml:space="preserve">Back-end &amp; Integrations</t>
  </si>
  <si>
    <t xml:space="preserve">R. Alvarez</t>
  </si>
  <si>
    <t xml:space="preserve">QA &amp; Security</t>
  </si>
  <si>
    <t xml:space="preserve">K. Nguyen</t>
  </si>
  <si>
    <t xml:space="preserve">Training &amp; Rollout</t>
  </si>
  <si>
    <t xml:space="preserve">D. Whitfield</t>
  </si>
  <si>
    <t xml:space="preserve">Hypercare &amp; Close</t>
  </si>
  <si>
    <t xml:space="preserve">Overall % complete (weighted by duration)</t>
  </si>
  <si>
    <t xml:space="preserve">KEY MILESTONES</t>
  </si>
  <si>
    <t xml:space="preserve">Milestone</t>
  </si>
  <si>
    <t xml:space="preserve">Due Date</t>
  </si>
  <si>
    <t xml:space="preserve">Days to Due</t>
  </si>
  <si>
    <t xml:space="preserve">Requirements sign-off</t>
  </si>
  <si>
    <t xml:space="preserve">Complete</t>
  </si>
  <si>
    <t xml:space="preserve">Design approval</t>
  </si>
  <si>
    <t xml:space="preserve">Beta release</t>
  </si>
  <si>
    <t xml:space="preserve">On Track</t>
  </si>
  <si>
    <t xml:space="preserve">Integrations complete</t>
  </si>
  <si>
    <t xml:space="preserve">At Risk</t>
  </si>
  <si>
    <t xml:space="preserve">Security audit passed</t>
  </si>
  <si>
    <t xml:space="preserve">Not Started</t>
  </si>
  <si>
    <t xml:space="preserve">Go-live</t>
  </si>
  <si>
    <t xml:space="preserve">Project close-out</t>
  </si>
  <si>
    <t xml:space="preserve">Budget Scenarios</t>
  </si>
  <si>
    <t xml:space="preserve">What-if planning: change the blue inputs and the chart updates instantly</t>
  </si>
  <si>
    <t xml:space="preserve">Scenario</t>
  </si>
  <si>
    <t xml:space="preserve">Labor adjustment</t>
  </si>
  <si>
    <t xml:space="preserve">Labor ($)</t>
  </si>
  <si>
    <t xml:space="preserve">Other costs ($)</t>
  </si>
  <si>
    <t xml:space="preserve">Contingency ($)</t>
  </si>
  <si>
    <t xml:space="preserve">Total ($)</t>
  </si>
  <si>
    <t xml:space="preserve">Lean</t>
  </si>
  <si>
    <t xml:space="preserve">Base</t>
  </si>
  <si>
    <t xml:space="preserve">Expanded</t>
  </si>
  <si>
    <t xml:space="preserve">Labor and other costs come from the Cost Breakdown sheet. Nothing else in the workbook depends on this sheet.</t>
  </si>
  <si>
    <t xml:space="preserve">Project Alpha — Dashboard</t>
  </si>
  <si>
    <t xml:space="preserve">TOTAL BUDGET</t>
  </si>
  <si>
    <t xml:space="preserve">SPENT TO DATE</t>
  </si>
  <si>
    <t xml:space="preserve">OVERALL COMPLETE</t>
  </si>
  <si>
    <t xml:space="preserve">MILESTONES DONE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</si>
</sst>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;&quot;($&quot;#,##0\);\-"/>
    <numFmt numFmtId="166" formatCode="mmm\ d&quot;, &quot;yyyy"/>
    <numFmt numFmtId="167" formatCode="0.0%"/>
    <numFmt numFmtId="168" formatCode="0"/>
    <numFmt numFmtId="169" formatCode="0&quot; days&quot;"/>
    <numFmt numFmtId="170" formatCode="0.0%;\(0.0%\);\-"/>
    <numFmt numFmtId="171" formatCode="0%"/>
    <numFmt numFmtId="172" formatCode="mmm\ yyyy"/>
    <numFmt numFmtId="173" formatCode="mmm\-yy"/>
    <numFmt numFmtId="174" formatCode="0;\-0;\—"/>
    <numFmt numFmtId="175" formatCode="\+0%;\-0%;0%"/>
    <numFmt numFmtId="176" formatCode="\$#,##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1"/>
      <color rgb="FF00083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206A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7B8191"/>
      <name val="Arial"/>
      <family val="0"/>
      <charset val="1"/>
    </font>
    <font>
      <sz val="10"/>
      <name val="Arial"/>
      <family val="2"/>
    </font>
    <font>
      <b val="true"/>
      <sz val="18"/>
      <color rgb="FFFFFFFF"/>
      <name val="Arial"/>
      <family val="0"/>
      <charset val="1"/>
    </font>
    <font>
      <b val="true"/>
      <sz val="10"/>
      <color rgb="FF00083D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10"/>
      <color rgb="FF7B8191"/>
      <name val="Arial"/>
      <family val="0"/>
      <charset val="1"/>
    </font>
    <font>
      <b val="true"/>
      <sz val="9"/>
      <color rgb="FF00083D"/>
      <name val="Arial"/>
      <family val="0"/>
      <charset val="1"/>
    </font>
    <font>
      <b val="true"/>
      <sz val="24"/>
      <color rgb="FFFFFFFF"/>
      <name val="Arial"/>
      <family val="0"/>
      <charset val="1"/>
    </font>
    <font>
      <b val="true"/>
      <sz val="24"/>
      <color rgb="FF00083D"/>
      <name val="Arial"/>
      <family val="0"/>
      <charset val="1"/>
    </font>
    <font>
      <sz val="9"/>
      <color rgb="FFFFFFFF"/>
      <name val="Arial"/>
      <family val="0"/>
      <charset val="1"/>
    </font>
    <font>
      <sz val="9"/>
      <color rgb="FF00083D"/>
      <name val="Arial"/>
      <family val="0"/>
      <charset val="1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083D"/>
        <bgColor rgb="FF000000"/>
      </patternFill>
    </fill>
    <fill>
      <patternFill patternType="solid">
        <fgColor rgb="FFE8EFF6"/>
        <bgColor rgb="FFF4F7FB"/>
      </patternFill>
    </fill>
    <fill>
      <patternFill patternType="solid">
        <fgColor rgb="FF0206A8"/>
        <bgColor rgb="FF0000FF"/>
      </patternFill>
    </fill>
    <fill>
      <patternFill patternType="solid">
        <fgColor rgb="FFF4F7FB"/>
        <bgColor rgb="FFFFFFFF"/>
      </patternFill>
    </fill>
    <fill>
      <patternFill patternType="solid">
        <fgColor rgb="FFE7E710"/>
        <bgColor rgb="FFFFFF00"/>
      </patternFill>
    </fill>
    <fill>
      <patternFill patternType="solid">
        <fgColor rgb="FF00EB9B"/>
        <bgColor rgb="FF00E2EA"/>
      </patternFill>
    </fill>
    <fill>
      <patternFill patternType="solid">
        <fgColor rgb="FF00E2EA"/>
        <bgColor rgb="FF00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5" fontId="1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5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5" fontId="1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8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5" fillId="4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6" fillId="7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6" fillId="8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E7E710"/>
      <rgbColor rgb="FFFF00FF"/>
      <rgbColor rgb="FF00EB9B"/>
      <rgbColor rgb="FF800000"/>
      <rgbColor rgb="FF008000"/>
      <rgbColor rgb="FF0206A8"/>
      <rgbColor rgb="FF808000"/>
      <rgbColor rgb="FF800080"/>
      <rgbColor rgb="FF008080"/>
      <rgbColor rgb="FFBFBFBF"/>
      <rgbColor rgb="FF7B8191"/>
      <rgbColor rgb="FF9999FF"/>
      <rgbColor rgb="FF993366"/>
      <rgbColor rgb="FFF4F7FB"/>
      <rgbColor rgb="FFE8EFF6"/>
      <rgbColor rgb="FF660066"/>
      <rgbColor rgb="FFFF8080"/>
      <rgbColor rgb="FF0066CC"/>
      <rgbColor rgb="FFD9D9D9"/>
      <rgbColor rgb="FF00083D"/>
      <rgbColor rgb="FFFF00FF"/>
      <rgbColor rgb="FFFFFF00"/>
      <rgbColor rgb="FF00FFFF"/>
      <rgbColor rgb="FF800080"/>
      <rgbColor rgb="FF800000"/>
      <rgbColor rgb="FF008080"/>
      <rgbColor rgb="FF0000FF"/>
      <rgbColor rgb="FF00E2EA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D1B"/>
      <rgbColor rgb="FF4F81BD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budget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'Budget Scenarios'!E5</c:f>
              <c:strCache>
                <c:ptCount val="1"/>
                <c:pt idx="0">
                  <c:v>Labor ($)</c:v>
                </c:pt>
              </c:strCache>
            </c:strRef>
          </c:tx>
          <c:spPr>
            <a:solidFill>
              <a:srgbClr val="0206a8"/>
            </a:solidFill>
            <a:ln w="0">
              <a:solidFill>
                <a:srgbClr val="0206a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Scenarios'!$B$6:$B$8</c:f>
              <c:strCache>
                <c:ptCount val="3"/>
                <c:pt idx="0">
                  <c:v>Lean</c:v>
                </c:pt>
                <c:pt idx="1">
                  <c:v>Base</c:v>
                </c:pt>
                <c:pt idx="2">
                  <c:v>Expanded</c:v>
                </c:pt>
              </c:strCache>
            </c:strRef>
          </c:cat>
          <c:val>
            <c:numRef>
              <c:f>'Budget Scenarios'!$E$6:$E$8</c:f>
              <c:numCache>
                <c:formatCode>\$#,##0;"($"#,##0\);\-</c:formatCode>
                <c:ptCount val="3"/>
                <c:pt idx="0">
                  <c:v>526140</c:v>
                </c:pt>
                <c:pt idx="1">
                  <c:v>584600</c:v>
                </c:pt>
                <c:pt idx="2">
                  <c:v>672290</c:v>
                </c:pt>
              </c:numCache>
            </c:numRef>
          </c:val>
        </c:ser>
        <c:ser>
          <c:idx val="1"/>
          <c:order val="1"/>
          <c:tx>
            <c:strRef>
              <c:f>'Budget Scenarios'!F5</c:f>
              <c:strCache>
                <c:ptCount val="1"/>
                <c:pt idx="0">
                  <c:v>Other costs ($)</c:v>
                </c:pt>
              </c:strCache>
            </c:strRef>
          </c:tx>
          <c:spPr>
            <a:solidFill>
              <a:srgbClr val="00e2ea"/>
            </a:solidFill>
            <a:ln w="0">
              <a:solidFill>
                <a:srgbClr val="00e2ea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Scenarios'!$B$6:$B$8</c:f>
              <c:strCache>
                <c:ptCount val="3"/>
                <c:pt idx="0">
                  <c:v>Lean</c:v>
                </c:pt>
                <c:pt idx="1">
                  <c:v>Base</c:v>
                </c:pt>
                <c:pt idx="2">
                  <c:v>Expanded</c:v>
                </c:pt>
              </c:strCache>
            </c:strRef>
          </c:cat>
          <c:val>
            <c:numRef>
              <c:f>'Budget Scenarios'!$F$6:$F$8</c:f>
              <c:numCache>
                <c:formatCode>\$#,##0;"($"#,##0\);\-</c:formatCode>
                <c:ptCount val="3"/>
                <c:pt idx="0">
                  <c:v>139350</c:v>
                </c:pt>
                <c:pt idx="1">
                  <c:v>139350</c:v>
                </c:pt>
                <c:pt idx="2">
                  <c:v>139350</c:v>
                </c:pt>
              </c:numCache>
            </c:numRef>
          </c:val>
        </c:ser>
        <c:ser>
          <c:idx val="2"/>
          <c:order val="2"/>
          <c:tx>
            <c:strRef>
              <c:f>'Budget Scenarios'!G5</c:f>
              <c:strCache>
                <c:ptCount val="1"/>
                <c:pt idx="0">
                  <c:v>Contingency ($)</c:v>
                </c:pt>
              </c:strCache>
            </c:strRef>
          </c:tx>
          <c:spPr>
            <a:solidFill>
              <a:srgbClr val="ff7d1b"/>
            </a:solidFill>
            <a:ln w="0">
              <a:solidFill>
                <a:srgbClr val="ff7d1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Scenarios'!$B$6:$B$8</c:f>
              <c:strCache>
                <c:ptCount val="3"/>
                <c:pt idx="0">
                  <c:v>Lean</c:v>
                </c:pt>
                <c:pt idx="1">
                  <c:v>Base</c:v>
                </c:pt>
                <c:pt idx="2">
                  <c:v>Expanded</c:v>
                </c:pt>
              </c:strCache>
            </c:strRef>
          </c:cat>
          <c:val>
            <c:numRef>
              <c:f>'Budget Scenarios'!$G$6:$G$8</c:f>
              <c:numCache>
                <c:formatCode>\$#,##0;"($"#,##0\);\-</c:formatCode>
                <c:ptCount val="3"/>
                <c:pt idx="0">
                  <c:v>33274.5</c:v>
                </c:pt>
                <c:pt idx="1">
                  <c:v>72395</c:v>
                </c:pt>
                <c:pt idx="2">
                  <c:v>121746</c:v>
                </c:pt>
              </c:numCache>
            </c:numRef>
          </c:val>
        </c:ser>
        <c:gapWidth val="150"/>
        <c:overlap val="100"/>
        <c:axId val="18271949"/>
        <c:axId val="90396842"/>
      </c:barChart>
      <c:catAx>
        <c:axId val="182719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396842"/>
        <c:crosses val="autoZero"/>
        <c:auto val="1"/>
        <c:lblAlgn val="ctr"/>
        <c:lblOffset val="100"/>
        <c:noMultiLvlLbl val="0"/>
      </c:catAx>
      <c:valAx>
        <c:axId val="90396842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27194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vs Actual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'Cost Breakdown'!C28</c:f>
              <c:strCache>
                <c:ptCount val="1"/>
                <c:pt idx="0">
                  <c:v>Budget ($)</c:v>
                </c:pt>
              </c:strCache>
            </c:strRef>
          </c:tx>
          <c:spPr>
            <a:solidFill>
              <a:srgbClr val="0206a8"/>
            </a:solidFill>
            <a:ln w="0">
              <a:solidFill>
                <a:srgbClr val="0206a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 Breakdown'!$B$29:$B$33</c:f>
              <c:strCache>
                <c:ptCount val="5"/>
                <c:pt idx="0">
                  <c:v>Labor</c:v>
                </c:pt>
                <c:pt idx="1">
                  <c:v>Software &amp; Licensing</c:v>
                </c:pt>
                <c:pt idx="2">
                  <c:v>Infrastructure</c:v>
                </c:pt>
                <c:pt idx="3">
                  <c:v>Training &amp; Change</c:v>
                </c:pt>
                <c:pt idx="4">
                  <c:v>Professional Services</c:v>
                </c:pt>
              </c:strCache>
            </c:strRef>
          </c:cat>
          <c:val>
            <c:numRef>
              <c:f>'Cost Breakdown'!$C$29:$C$33</c:f>
              <c:numCache>
                <c:formatCode>\$#,##0;"($"#,##0\);\-</c:formatCode>
                <c:ptCount val="5"/>
                <c:pt idx="0">
                  <c:v>584600</c:v>
                </c:pt>
                <c:pt idx="1">
                  <c:v>77850</c:v>
                </c:pt>
                <c:pt idx="2">
                  <c:v>18000</c:v>
                </c:pt>
                <c:pt idx="3">
                  <c:v>18000</c:v>
                </c:pt>
                <c:pt idx="4">
                  <c:v>25500</c:v>
                </c:pt>
              </c:numCache>
            </c:numRef>
          </c:val>
        </c:ser>
        <c:ser>
          <c:idx val="1"/>
          <c:order val="1"/>
          <c:tx>
            <c:strRef>
              <c:f>'Cost Breakdown'!D28</c:f>
              <c:strCache>
                <c:ptCount val="1"/>
                <c:pt idx="0">
                  <c:v>Actual ($)</c:v>
                </c:pt>
              </c:strCache>
            </c:strRef>
          </c:tx>
          <c:spPr>
            <a:solidFill>
              <a:srgbClr val="ff7d1b"/>
            </a:solidFill>
            <a:ln w="0">
              <a:solidFill>
                <a:srgbClr val="ff7d1b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 Breakdown'!$B$29:$B$33</c:f>
              <c:strCache>
                <c:ptCount val="5"/>
                <c:pt idx="0">
                  <c:v>Labor</c:v>
                </c:pt>
                <c:pt idx="1">
                  <c:v>Software &amp; Licensing</c:v>
                </c:pt>
                <c:pt idx="2">
                  <c:v>Infrastructure</c:v>
                </c:pt>
                <c:pt idx="3">
                  <c:v>Training &amp; Change</c:v>
                </c:pt>
                <c:pt idx="4">
                  <c:v>Professional Services</c:v>
                </c:pt>
              </c:strCache>
            </c:strRef>
          </c:cat>
          <c:val>
            <c:numRef>
              <c:f>'Cost Breakdown'!$D$29:$D$33</c:f>
              <c:numCache>
                <c:formatCode>\$#,##0;"($"#,##0\);\-</c:formatCode>
                <c:ptCount val="5"/>
                <c:pt idx="0">
                  <c:v>294850</c:v>
                </c:pt>
                <c:pt idx="1">
                  <c:v>63250</c:v>
                </c:pt>
                <c:pt idx="2">
                  <c:v>12000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6737722"/>
        <c:axId val="85383084"/>
      </c:barChart>
      <c:catAx>
        <c:axId val="67377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383084"/>
        <c:crosses val="autoZero"/>
        <c:auto val="1"/>
        <c:lblAlgn val="ctr"/>
        <c:lblOffset val="100"/>
        <c:noMultiLvlLbl val="0"/>
      </c:catAx>
      <c:valAx>
        <c:axId val="8538308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377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'Cost Breakdown'!C28</c:f>
              <c:strCache>
                <c:ptCount val="1"/>
                <c:pt idx="0">
                  <c:v>Budget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206a8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ff7d1b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0eb9b"/>
              </a:solidFill>
              <a:ln w="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00e2ea"/>
              </a:solidFill>
              <a:ln w="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7b8191"/>
              </a:solidFill>
              <a:ln w="0">
                <a:solidFill>
                  <a:srgbClr val="ffffff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'Cost Breakdown'!$B$29:$B$33</c:f>
              <c:strCache>
                <c:ptCount val="5"/>
                <c:pt idx="0">
                  <c:v>Labor</c:v>
                </c:pt>
                <c:pt idx="1">
                  <c:v>Software &amp; Licensing</c:v>
                </c:pt>
                <c:pt idx="2">
                  <c:v>Infrastructure</c:v>
                </c:pt>
                <c:pt idx="3">
                  <c:v>Training &amp; Change</c:v>
                </c:pt>
                <c:pt idx="4">
                  <c:v>Professional Services</c:v>
                </c:pt>
              </c:strCache>
            </c:strRef>
          </c:cat>
          <c:val>
            <c:numRef>
              <c:f>'Cost Breakdown'!$C$29:$C$33</c:f>
              <c:numCache>
                <c:formatCode>\$#,##0;"($"#,##0\);\-</c:formatCode>
                <c:ptCount val="5"/>
                <c:pt idx="0">
                  <c:v>584600</c:v>
                </c:pt>
                <c:pt idx="1">
                  <c:v>77850</c:v>
                </c:pt>
                <c:pt idx="2">
                  <c:v>18000</c:v>
                </c:pt>
                <c:pt idx="3">
                  <c:v>18000</c:v>
                </c:pt>
                <c:pt idx="4">
                  <c:v>25500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Spend: Planned vs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'Cost Breakdown'!F38</c:f>
              <c:strCache>
                <c:ptCount val="1"/>
                <c:pt idx="0">
                  <c:v>Cum. Planned ($)</c:v>
                </c:pt>
              </c:strCache>
            </c:strRef>
          </c:tx>
          <c:spPr>
            <a:solidFill>
              <a:srgbClr val="0206a8"/>
            </a:solidFill>
            <a:ln w="28440">
              <a:solidFill>
                <a:srgbClr val="0206a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 Breakdown'!$B$39:$B$47</c:f>
              <c:strCache>
                <c:ptCount val="9"/>
                <c:pt idx="0">
                  <c:v>Nov 2026</c:v>
                </c:pt>
                <c:pt idx="1">
                  <c:v>Dec 2026</c:v>
                </c:pt>
                <c:pt idx="2">
                  <c:v>Jan 2027</c:v>
                </c:pt>
                <c:pt idx="3">
                  <c:v>Feb 2027</c:v>
                </c:pt>
                <c:pt idx="4">
                  <c:v>Mar 2027</c:v>
                </c:pt>
                <c:pt idx="5">
                  <c:v>Apr 2027</c:v>
                </c:pt>
                <c:pt idx="6">
                  <c:v>May 2027</c:v>
                </c:pt>
                <c:pt idx="7">
                  <c:v>Jun 2027</c:v>
                </c:pt>
                <c:pt idx="8">
                  <c:v>Jul 2027</c:v>
                </c:pt>
              </c:strCache>
            </c:strRef>
          </c:cat>
          <c:val>
            <c:numRef>
              <c:f>'Cost Breakdown'!$F$39:$F$47</c:f>
              <c:numCache>
                <c:formatCode>\$#,##0;"($"#,##0\);\-</c:formatCode>
                <c:ptCount val="9"/>
                <c:pt idx="0">
                  <c:v>43437</c:v>
                </c:pt>
                <c:pt idx="1">
                  <c:v>108592.5</c:v>
                </c:pt>
                <c:pt idx="2">
                  <c:v>209945.5</c:v>
                </c:pt>
                <c:pt idx="3">
                  <c:v>304059</c:v>
                </c:pt>
                <c:pt idx="4">
                  <c:v>398172.5</c:v>
                </c:pt>
                <c:pt idx="5">
                  <c:v>499525.5</c:v>
                </c:pt>
                <c:pt idx="6">
                  <c:v>593639</c:v>
                </c:pt>
                <c:pt idx="7">
                  <c:v>673273.5</c:v>
                </c:pt>
                <c:pt idx="8">
                  <c:v>723950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'Cost Breakdown'!G38</c:f>
              <c:strCache>
                <c:ptCount val="1"/>
                <c:pt idx="0">
                  <c:v>Cum. Actual ($)</c:v>
                </c:pt>
              </c:strCache>
            </c:strRef>
          </c:tx>
          <c:spPr>
            <a:solidFill>
              <a:srgbClr val="ff7d1b"/>
            </a:solidFill>
            <a:ln w="28440">
              <a:solidFill>
                <a:srgbClr val="ff7d1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 Breakdown'!$B$39:$B$47</c:f>
              <c:strCache>
                <c:ptCount val="9"/>
                <c:pt idx="0">
                  <c:v>Nov 2026</c:v>
                </c:pt>
                <c:pt idx="1">
                  <c:v>Dec 2026</c:v>
                </c:pt>
                <c:pt idx="2">
                  <c:v>Jan 2027</c:v>
                </c:pt>
                <c:pt idx="3">
                  <c:v>Feb 2027</c:v>
                </c:pt>
                <c:pt idx="4">
                  <c:v>Mar 2027</c:v>
                </c:pt>
                <c:pt idx="5">
                  <c:v>Apr 2027</c:v>
                </c:pt>
                <c:pt idx="6">
                  <c:v>May 2027</c:v>
                </c:pt>
                <c:pt idx="7">
                  <c:v>Jun 2027</c:v>
                </c:pt>
                <c:pt idx="8">
                  <c:v>Jul 2027</c:v>
                </c:pt>
              </c:strCache>
            </c:strRef>
          </c:cat>
          <c:val>
            <c:numRef>
              <c:f>'Cost Breakdown'!$G$39:$G$47</c:f>
              <c:numCache>
                <c:formatCode>\$#,##0;"($"#,##0\);\-</c:formatCode>
                <c:ptCount val="9"/>
                <c:pt idx="0">
                  <c:v>38500</c:v>
                </c:pt>
                <c:pt idx="1">
                  <c:v>99700</c:v>
                </c:pt>
                <c:pt idx="2">
                  <c:v>202100</c:v>
                </c:pt>
                <c:pt idx="3">
                  <c:v>281400</c:v>
                </c:pt>
                <c:pt idx="4">
                  <c:v>370100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1559747"/>
        <c:axId val="20161985"/>
      </c:lineChart>
      <c:catAx>
        <c:axId val="51559747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161985"/>
        <c:crosses val="autoZero"/>
        <c:auto val="1"/>
        <c:lblAlgn val="ctr"/>
        <c:lblOffset val="100"/>
        <c:noMultiLvlLbl val="0"/>
      </c:catAx>
      <c:valAx>
        <c:axId val="201619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55974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Phase Progress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'Timeline &amp; Milestones'!I6</c:f>
              <c:strCache>
                <c:ptCount val="1"/>
                <c:pt idx="0">
                  <c:v>% Complete</c:v>
                </c:pt>
              </c:strCache>
            </c:strRef>
          </c:tx>
          <c:spPr>
            <a:solidFill>
              <a:srgbClr val="00eb9b"/>
            </a:solidFill>
            <a:ln w="0">
              <a:solidFill>
                <a:srgbClr val="00eb9b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'Timeline &amp; Milestones'!$C$7:$C$13</c:f>
              <c:strCache>
                <c:ptCount val="7"/>
                <c:pt idx="0">
                  <c:v>Discovery &amp; Requirements</c:v>
                </c:pt>
                <c:pt idx="1">
                  <c:v>UX/UI Design</c:v>
                </c:pt>
                <c:pt idx="2">
                  <c:v>Front-end Build</c:v>
                </c:pt>
                <c:pt idx="3">
                  <c:v>Back-end &amp; Integrations</c:v>
                </c:pt>
                <c:pt idx="4">
                  <c:v>QA &amp; Security</c:v>
                </c:pt>
                <c:pt idx="5">
                  <c:v>Training &amp; Rollout</c:v>
                </c:pt>
                <c:pt idx="6">
                  <c:v>Hypercare &amp; Close</c:v>
                </c:pt>
              </c:strCache>
            </c:strRef>
          </c:cat>
          <c:val>
            <c:numRef>
              <c:f>'Timeline &amp; Milestones'!$I$7:$I$13</c:f>
              <c:numCache>
                <c:formatCode>0%</c:formatCode>
                <c:ptCount val="7"/>
                <c:pt idx="0">
                  <c:v>1</c:v>
                </c:pt>
                <c:pt idx="1">
                  <c:v>0.95</c:v>
                </c:pt>
                <c:pt idx="2">
                  <c:v>0.6</c:v>
                </c:pt>
                <c:pt idx="3">
                  <c:v>0.5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150"/>
        <c:overlap val="0"/>
        <c:axId val="85714056"/>
        <c:axId val="43710488"/>
      </c:barChart>
      <c:catAx>
        <c:axId val="857140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710488"/>
        <c:crosses val="autoZero"/>
        <c:auto val="1"/>
        <c:lblAlgn val="ctr"/>
        <c:lblOffset val="100"/>
        <c:noMultiLvlLbl val="0"/>
      </c:catAx>
      <c:valAx>
        <c:axId val="43710488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7140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4</xdr:row>
      <xdr:rowOff>0</xdr:rowOff>
    </xdr:from>
    <xdr:to>
      <xdr:col>16</xdr:col>
      <xdr:colOff>579240</xdr:colOff>
      <xdr:row>18</xdr:row>
      <xdr:rowOff>183240</xdr:rowOff>
    </xdr:to>
    <xdr:graphicFrame>
      <xdr:nvGraphicFramePr>
        <xdr:cNvPr id="0" name="Chart 1"/>
        <xdr:cNvGraphicFramePr/>
      </xdr:nvGraphicFramePr>
      <xdr:xfrm>
        <a:off x="8083080" y="1057320"/>
        <a:ext cx="48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0</xdr:rowOff>
    </xdr:from>
    <xdr:to>
      <xdr:col>9</xdr:col>
      <xdr:colOff>16560</xdr:colOff>
      <xdr:row>25</xdr:row>
      <xdr:rowOff>11520</xdr:rowOff>
    </xdr:to>
    <xdr:graphicFrame>
      <xdr:nvGraphicFramePr>
        <xdr:cNvPr id="1" name="Chart 1"/>
        <xdr:cNvGraphicFramePr/>
      </xdr:nvGraphicFramePr>
      <xdr:xfrm>
        <a:off x="141120" y="2295360"/>
        <a:ext cx="59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9</xdr:row>
      <xdr:rowOff>0</xdr:rowOff>
    </xdr:from>
    <xdr:to>
      <xdr:col>17</xdr:col>
      <xdr:colOff>16200</xdr:colOff>
      <xdr:row>25</xdr:row>
      <xdr:rowOff>11520</xdr:rowOff>
    </xdr:to>
    <xdr:graphicFrame>
      <xdr:nvGraphicFramePr>
        <xdr:cNvPr id="2" name="Chart 2"/>
        <xdr:cNvGraphicFramePr/>
      </xdr:nvGraphicFramePr>
      <xdr:xfrm>
        <a:off x="6064200" y="2295360"/>
        <a:ext cx="59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9</xdr:col>
      <xdr:colOff>16560</xdr:colOff>
      <xdr:row>43</xdr:row>
      <xdr:rowOff>11520</xdr:rowOff>
    </xdr:to>
    <xdr:graphicFrame>
      <xdr:nvGraphicFramePr>
        <xdr:cNvPr id="3" name="Chart 3"/>
        <xdr:cNvGraphicFramePr/>
      </xdr:nvGraphicFramePr>
      <xdr:xfrm>
        <a:off x="141120" y="5724360"/>
        <a:ext cx="59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27</xdr:row>
      <xdr:rowOff>0</xdr:rowOff>
    </xdr:from>
    <xdr:to>
      <xdr:col>17</xdr:col>
      <xdr:colOff>16200</xdr:colOff>
      <xdr:row>43</xdr:row>
      <xdr:rowOff>11520</xdr:rowOff>
    </xdr:to>
    <xdr:graphicFrame>
      <xdr:nvGraphicFramePr>
        <xdr:cNvPr id="4" name="Chart 4"/>
        <xdr:cNvGraphicFramePr/>
      </xdr:nvGraphicFramePr>
      <xdr:xfrm>
        <a:off x="6064200" y="5724360"/>
        <a:ext cx="59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83D"/>
    <pageSetUpPr fitToPage="true"/>
  </sheetPr>
  <dimension ref="B2:I31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3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18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5" customFormat="false" ht="21.75" hidden="false" customHeight="true" outlineLevel="0" collapsed="false">
      <c r="B5" s="3" t="s">
        <v>2</v>
      </c>
      <c r="C5" s="3"/>
      <c r="D5" s="3"/>
      <c r="E5" s="3"/>
      <c r="G5" s="3" t="s">
        <v>3</v>
      </c>
      <c r="H5" s="3"/>
      <c r="I5" s="3"/>
    </row>
    <row r="6" customFormat="false" ht="15" hidden="false" customHeight="false" outlineLevel="0" collapsed="false">
      <c r="B6" s="4" t="s">
        <v>4</v>
      </c>
      <c r="C6" s="5" t="s">
        <v>5</v>
      </c>
      <c r="D6" s="5"/>
      <c r="E6" s="5"/>
      <c r="G6" s="6" t="s">
        <v>6</v>
      </c>
      <c r="H6" s="6"/>
      <c r="I6" s="7" t="n">
        <f aca="false">'Cost Breakdown'!G24</f>
        <v>796345</v>
      </c>
    </row>
    <row r="7" customFormat="false" ht="15" hidden="false" customHeight="false" outlineLevel="0" collapsed="false">
      <c r="B7" s="4" t="s">
        <v>7</v>
      </c>
      <c r="C7" s="5" t="s">
        <v>8</v>
      </c>
      <c r="D7" s="5"/>
      <c r="E7" s="5"/>
      <c r="G7" s="6" t="s">
        <v>9</v>
      </c>
      <c r="H7" s="6"/>
      <c r="I7" s="7" t="n">
        <f aca="false">'Cost Breakdown'!H24</f>
        <v>370100</v>
      </c>
    </row>
    <row r="8" customFormat="false" ht="15" hidden="false" customHeight="false" outlineLevel="0" collapsed="false">
      <c r="B8" s="4" t="s">
        <v>10</v>
      </c>
      <c r="C8" s="5" t="s">
        <v>11</v>
      </c>
      <c r="D8" s="5"/>
      <c r="E8" s="5"/>
      <c r="G8" s="6" t="s">
        <v>12</v>
      </c>
      <c r="H8" s="6"/>
      <c r="I8" s="8" t="n">
        <f aca="false">I6-I7</f>
        <v>426245</v>
      </c>
    </row>
    <row r="9" customFormat="false" ht="15" hidden="false" customHeight="false" outlineLevel="0" collapsed="false">
      <c r="B9" s="4" t="s">
        <v>13</v>
      </c>
      <c r="C9" s="9" t="n">
        <v>46310</v>
      </c>
      <c r="D9" s="9"/>
      <c r="E9" s="9"/>
      <c r="G9" s="6" t="s">
        <v>14</v>
      </c>
      <c r="H9" s="6"/>
      <c r="I9" s="10" t="n">
        <f aca="false">IF(I6=0,0,I7/I6)</f>
        <v>0.464748318881892</v>
      </c>
    </row>
    <row r="10" customFormat="false" ht="15" hidden="false" customHeight="false" outlineLevel="0" collapsed="false">
      <c r="B10" s="4" t="s">
        <v>15</v>
      </c>
      <c r="C10" s="11" t="n">
        <v>46477</v>
      </c>
      <c r="D10" s="11"/>
      <c r="E10" s="11"/>
      <c r="G10" s="6" t="s">
        <v>16</v>
      </c>
      <c r="H10" s="6"/>
      <c r="I10" s="12" t="n">
        <f aca="false">'Timeline &amp; Milestones'!I14</f>
        <v>0.468680089485459</v>
      </c>
    </row>
    <row r="11" customFormat="false" ht="15" hidden="false" customHeight="false" outlineLevel="0" collapsed="false">
      <c r="B11" s="4" t="s">
        <v>17</v>
      </c>
      <c r="C11" s="13" t="n">
        <f aca="false">'Timeline &amp; Milestones'!$E$7</f>
        <v>46328</v>
      </c>
      <c r="D11" s="13"/>
      <c r="E11" s="13"/>
      <c r="G11" s="6" t="s">
        <v>18</v>
      </c>
      <c r="H11" s="6"/>
      <c r="I11" s="14" t="str">
        <f aca="false">COUNTIF('Timeline &amp; Milestones'!F19:F25,"Complete")&amp;" of "&amp;COUNTA('Timeline &amp; Milestones'!C19:C25)</f>
        <v>2 of 7</v>
      </c>
    </row>
    <row r="12" customFormat="false" ht="15" hidden="false" customHeight="false" outlineLevel="0" collapsed="false">
      <c r="B12" s="4" t="s">
        <v>19</v>
      </c>
      <c r="C12" s="13" t="n">
        <f aca="false">'Timeline &amp; Milestones'!$F$13</f>
        <v>46598</v>
      </c>
      <c r="D12" s="13"/>
      <c r="E12" s="13"/>
      <c r="G12" s="6" t="s">
        <v>20</v>
      </c>
      <c r="H12" s="6"/>
      <c r="I12" s="15" t="n">
        <f aca="false">COUNTIF('Timeline &amp; Milestones'!J7:J13,"Overdue")</f>
        <v>1</v>
      </c>
    </row>
    <row r="13" customFormat="false" ht="15" hidden="false" customHeight="false" outlineLevel="0" collapsed="false">
      <c r="B13" s="4" t="s">
        <v>21</v>
      </c>
      <c r="C13" s="16" t="n">
        <f aca="false">DATE(YEAR('Timeline &amp; Milestones'!$F$13),MONTH('Timeline &amp; Milestones'!$F$13),DAY('Timeline &amp; Milestones'!$F$13))-DATE(YEAR('Timeline &amp; Milestones'!$E$7),MONTH('Timeline &amp; Milestones'!$E$7),DAY('Timeline &amp; Milestones'!$E$7))+1</f>
        <v>271</v>
      </c>
      <c r="D13" s="16"/>
      <c r="E13" s="16"/>
      <c r="G13" s="6" t="s">
        <v>22</v>
      </c>
      <c r="H13" s="6"/>
      <c r="I13" s="17" t="str">
        <f aca="false">IF(OR(I12&gt;1,I9-I10&gt;0.15),"Off Track",IF(OR(I12=1,I9-I10&gt;0.05),"At Risk","On Track"))</f>
        <v>At Risk</v>
      </c>
    </row>
    <row r="15" customFormat="false" ht="21.75" hidden="false" customHeight="true" outlineLevel="0" collapsed="false">
      <c r="B15" s="3" t="s">
        <v>23</v>
      </c>
      <c r="C15" s="3"/>
      <c r="D15" s="3"/>
      <c r="E15" s="3"/>
      <c r="F15" s="3"/>
      <c r="G15" s="3"/>
      <c r="H15" s="3"/>
      <c r="I15" s="3"/>
    </row>
    <row r="16" customFormat="false" ht="30" hidden="false" customHeight="true" outlineLevel="0" collapsed="false">
      <c r="B16" s="18" t="s">
        <v>24</v>
      </c>
      <c r="C16" s="19" t="s">
        <v>25</v>
      </c>
      <c r="D16" s="19"/>
      <c r="E16" s="19"/>
      <c r="F16" s="19"/>
      <c r="G16" s="19"/>
      <c r="H16" s="19"/>
      <c r="I16" s="19"/>
    </row>
    <row r="17" customFormat="false" ht="30" hidden="false" customHeight="true" outlineLevel="0" collapsed="false">
      <c r="B17" s="18" t="s">
        <v>26</v>
      </c>
      <c r="C17" s="19" t="s">
        <v>27</v>
      </c>
      <c r="D17" s="19"/>
      <c r="E17" s="19"/>
      <c r="F17" s="19"/>
      <c r="G17" s="19"/>
      <c r="H17" s="19"/>
      <c r="I17" s="19"/>
    </row>
    <row r="18" customFormat="false" ht="30" hidden="false" customHeight="true" outlineLevel="0" collapsed="false">
      <c r="B18" s="18" t="s">
        <v>28</v>
      </c>
      <c r="C18" s="19" t="s">
        <v>29</v>
      </c>
      <c r="D18" s="19"/>
      <c r="E18" s="19"/>
      <c r="F18" s="19"/>
      <c r="G18" s="19"/>
      <c r="H18" s="19"/>
      <c r="I18" s="19"/>
    </row>
    <row r="19" customFormat="false" ht="30" hidden="false" customHeight="true" outlineLevel="0" collapsed="false">
      <c r="B19" s="18" t="s">
        <v>30</v>
      </c>
      <c r="C19" s="19" t="s">
        <v>31</v>
      </c>
      <c r="D19" s="19"/>
      <c r="E19" s="19"/>
      <c r="F19" s="19"/>
      <c r="G19" s="19"/>
      <c r="H19" s="19"/>
      <c r="I19" s="19"/>
    </row>
    <row r="21" customFormat="false" ht="21.75" hidden="false" customHeight="true" outlineLevel="0" collapsed="false">
      <c r="B21" s="3" t="s">
        <v>32</v>
      </c>
      <c r="C21" s="3"/>
      <c r="D21" s="3"/>
      <c r="E21" s="3"/>
      <c r="G21" s="3" t="s">
        <v>33</v>
      </c>
      <c r="H21" s="3"/>
      <c r="I21" s="3"/>
    </row>
    <row r="22" customFormat="false" ht="31.5" hidden="false" customHeight="true" outlineLevel="0" collapsed="false">
      <c r="B22" s="20" t="s">
        <v>34</v>
      </c>
      <c r="C22" s="20" t="s">
        <v>35</v>
      </c>
      <c r="D22" s="20" t="s">
        <v>36</v>
      </c>
      <c r="E22" s="20" t="s">
        <v>37</v>
      </c>
      <c r="G22" s="20" t="s">
        <v>38</v>
      </c>
      <c r="H22" s="20" t="s">
        <v>39</v>
      </c>
      <c r="I22" s="20" t="s">
        <v>40</v>
      </c>
    </row>
    <row r="23" customFormat="false" ht="15" hidden="false" customHeight="false" outlineLevel="0" collapsed="false">
      <c r="B23" s="21" t="str">
        <f aca="false">'Cost Breakdown'!B29</f>
        <v>Labor</v>
      </c>
      <c r="C23" s="22" t="n">
        <f aca="false">'Cost Breakdown'!C29</f>
        <v>584600</v>
      </c>
      <c r="D23" s="22" t="n">
        <f aca="false">'Cost Breakdown'!D29</f>
        <v>294850</v>
      </c>
      <c r="E23" s="23" t="n">
        <f aca="false">IF(C23=0,0,D23/C23)</f>
        <v>0.504361956893602</v>
      </c>
      <c r="G23" s="24" t="s">
        <v>7</v>
      </c>
      <c r="H23" s="25" t="s">
        <v>41</v>
      </c>
      <c r="I23" s="26" t="s">
        <v>42</v>
      </c>
    </row>
    <row r="24" customFormat="false" ht="15" hidden="false" customHeight="false" outlineLevel="0" collapsed="false">
      <c r="B24" s="27" t="str">
        <f aca="false">'Cost Breakdown'!B30</f>
        <v>Software &amp; Licensing</v>
      </c>
      <c r="C24" s="28" t="n">
        <f aca="false">'Cost Breakdown'!C30</f>
        <v>77850</v>
      </c>
      <c r="D24" s="28" t="n">
        <f aca="false">'Cost Breakdown'!D30</f>
        <v>63250</v>
      </c>
      <c r="E24" s="29" t="n">
        <f aca="false">IF(C24=0,0,D24/C24)</f>
        <v>0.812459858702633</v>
      </c>
      <c r="G24" s="24" t="s">
        <v>43</v>
      </c>
      <c r="H24" s="25" t="s">
        <v>44</v>
      </c>
      <c r="I24" s="26" t="s">
        <v>42</v>
      </c>
    </row>
    <row r="25" customFormat="false" ht="15" hidden="false" customHeight="false" outlineLevel="0" collapsed="false">
      <c r="B25" s="21" t="str">
        <f aca="false">'Cost Breakdown'!B31</f>
        <v>Infrastructure</v>
      </c>
      <c r="C25" s="22" t="n">
        <f aca="false">'Cost Breakdown'!C31</f>
        <v>18000</v>
      </c>
      <c r="D25" s="22" t="n">
        <f aca="false">'Cost Breakdown'!D31</f>
        <v>12000</v>
      </c>
      <c r="E25" s="23" t="n">
        <f aca="false">IF(C25=0,0,D25/C25)</f>
        <v>0.666666666666667</v>
      </c>
      <c r="G25" s="24" t="s">
        <v>45</v>
      </c>
      <c r="H25" s="25" t="s">
        <v>46</v>
      </c>
      <c r="I25" s="26" t="s">
        <v>47</v>
      </c>
    </row>
    <row r="26" customFormat="false" ht="15" hidden="false" customHeight="false" outlineLevel="0" collapsed="false">
      <c r="B26" s="27" t="str">
        <f aca="false">'Cost Breakdown'!B32</f>
        <v>Training &amp; Change</v>
      </c>
      <c r="C26" s="28" t="n">
        <f aca="false">'Cost Breakdown'!C32</f>
        <v>18000</v>
      </c>
      <c r="D26" s="28" t="n">
        <f aca="false">'Cost Breakdown'!D32</f>
        <v>0</v>
      </c>
      <c r="E26" s="29" t="n">
        <f aca="false">IF(C26=0,0,D26/C26)</f>
        <v>0</v>
      </c>
    </row>
    <row r="27" customFormat="false" ht="15" hidden="false" customHeight="false" outlineLevel="0" collapsed="false">
      <c r="B27" s="21" t="str">
        <f aca="false">'Cost Breakdown'!B33</f>
        <v>Professional Services</v>
      </c>
      <c r="C27" s="22" t="n">
        <f aca="false">'Cost Breakdown'!C33</f>
        <v>25500</v>
      </c>
      <c r="D27" s="22" t="n">
        <f aca="false">'Cost Breakdown'!D33</f>
        <v>0</v>
      </c>
      <c r="E27" s="23" t="n">
        <f aca="false">IF(C27=0,0,D27/C27)</f>
        <v>0</v>
      </c>
    </row>
    <row r="30" customFormat="false" ht="15" hidden="false" customHeight="false" outlineLevel="0" collapsed="false">
      <c r="B30" s="30" t="s">
        <v>48</v>
      </c>
    </row>
    <row r="31" customFormat="false" ht="15" hidden="false" customHeight="false" outlineLevel="0" collapsed="false">
      <c r="B31" s="30" t="s">
        <v>49</v>
      </c>
    </row>
  </sheetData>
  <mergeCells count="27">
    <mergeCell ref="B2:I2"/>
    <mergeCell ref="B3:I3"/>
    <mergeCell ref="B5:E5"/>
    <mergeCell ref="G5:I5"/>
    <mergeCell ref="C6:E6"/>
    <mergeCell ref="G6:H6"/>
    <mergeCell ref="C7:E7"/>
    <mergeCell ref="G7:H7"/>
    <mergeCell ref="C8:E8"/>
    <mergeCell ref="G8:H8"/>
    <mergeCell ref="C9:E9"/>
    <mergeCell ref="G9:H9"/>
    <mergeCell ref="C10:E10"/>
    <mergeCell ref="G10:H10"/>
    <mergeCell ref="C11:E11"/>
    <mergeCell ref="G11:H11"/>
    <mergeCell ref="C12:E12"/>
    <mergeCell ref="G12:H12"/>
    <mergeCell ref="C13:E13"/>
    <mergeCell ref="G13:H13"/>
    <mergeCell ref="B15:I15"/>
    <mergeCell ref="C16:I16"/>
    <mergeCell ref="C17:I17"/>
    <mergeCell ref="C18:I18"/>
    <mergeCell ref="C19:I19"/>
    <mergeCell ref="B21:E21"/>
    <mergeCell ref="G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206A8"/>
    <pageSetUpPr fitToPage="true"/>
  </sheetPr>
  <dimension ref="B2:J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11"/>
  </cols>
  <sheetData>
    <row r="2" customFormat="false" ht="33.75" hidden="false" customHeight="true" outlineLevel="0" collapsed="false">
      <c r="B2" s="31" t="s">
        <v>50</v>
      </c>
      <c r="C2" s="31"/>
      <c r="D2" s="31"/>
      <c r="E2" s="31"/>
      <c r="F2" s="31"/>
      <c r="G2" s="31"/>
      <c r="H2" s="31"/>
      <c r="I2" s="31"/>
      <c r="J2" s="31"/>
    </row>
    <row r="3" customFormat="false" ht="19.5" hidden="false" customHeight="true" outlineLevel="0" collapsed="false">
      <c r="B3" s="32" t="s">
        <v>51</v>
      </c>
      <c r="C3" s="32"/>
      <c r="D3" s="32"/>
      <c r="E3" s="32"/>
      <c r="F3" s="32"/>
      <c r="G3" s="32"/>
      <c r="H3" s="32"/>
      <c r="I3" s="32"/>
      <c r="J3" s="32"/>
    </row>
    <row r="5" customFormat="false" ht="15" hidden="false" customHeight="false" outlineLevel="0" collapsed="false">
      <c r="B5" s="33" t="s">
        <v>52</v>
      </c>
      <c r="C5" s="34" t="n">
        <v>0.1</v>
      </c>
      <c r="E5" s="33" t="s">
        <v>15</v>
      </c>
      <c r="F5" s="35" t="n">
        <f aca="false">'Executive Summary'!$C$10</f>
        <v>46477</v>
      </c>
    </row>
    <row r="7" customFormat="false" ht="31.5" hidden="false" customHeight="true" outlineLevel="0" collapsed="false">
      <c r="B7" s="20" t="s">
        <v>34</v>
      </c>
      <c r="C7" s="20" t="s">
        <v>53</v>
      </c>
      <c r="D7" s="20" t="s">
        <v>54</v>
      </c>
      <c r="E7" s="20" t="s">
        <v>55</v>
      </c>
      <c r="F7" s="20" t="s">
        <v>56</v>
      </c>
      <c r="G7" s="20" t="s">
        <v>35</v>
      </c>
      <c r="H7" s="20" t="s">
        <v>57</v>
      </c>
      <c r="I7" s="20" t="s">
        <v>58</v>
      </c>
      <c r="J7" s="20" t="s">
        <v>37</v>
      </c>
    </row>
    <row r="8" customFormat="false" ht="15" hidden="false" customHeight="false" outlineLevel="0" collapsed="false">
      <c r="B8" s="36" t="s">
        <v>59</v>
      </c>
      <c r="C8" s="36" t="s">
        <v>60</v>
      </c>
      <c r="D8" s="37" t="n">
        <v>9</v>
      </c>
      <c r="E8" s="38" t="s">
        <v>61</v>
      </c>
      <c r="F8" s="39" t="n">
        <v>14000</v>
      </c>
      <c r="G8" s="40" t="n">
        <f aca="false">D8*F8</f>
        <v>126000</v>
      </c>
      <c r="H8" s="39" t="n">
        <v>70000</v>
      </c>
      <c r="I8" s="40" t="n">
        <f aca="false">G8-H8</f>
        <v>56000</v>
      </c>
      <c r="J8" s="23" t="n">
        <f aca="false">IF(G8=0,0,H8/G8)</f>
        <v>0.555555555555556</v>
      </c>
    </row>
    <row r="9" customFormat="false" ht="15" hidden="false" customHeight="false" outlineLevel="0" collapsed="false">
      <c r="B9" s="41" t="s">
        <v>59</v>
      </c>
      <c r="C9" s="41" t="s">
        <v>62</v>
      </c>
      <c r="D9" s="42" t="n">
        <v>10</v>
      </c>
      <c r="E9" s="43" t="s">
        <v>63</v>
      </c>
      <c r="F9" s="44" t="n">
        <v>6500</v>
      </c>
      <c r="G9" s="45" t="n">
        <f aca="false">D9*F9</f>
        <v>65000</v>
      </c>
      <c r="H9" s="44" t="n">
        <v>68250</v>
      </c>
      <c r="I9" s="45" t="n">
        <f aca="false">G9-H9</f>
        <v>-3250</v>
      </c>
      <c r="J9" s="29" t="n">
        <f aca="false">IF(G9=0,0,H9/G9)</f>
        <v>1.05</v>
      </c>
    </row>
    <row r="10" customFormat="false" ht="15" hidden="false" customHeight="false" outlineLevel="0" collapsed="false">
      <c r="B10" s="36" t="s">
        <v>59</v>
      </c>
      <c r="C10" s="36" t="s">
        <v>64</v>
      </c>
      <c r="D10" s="37" t="n">
        <v>24</v>
      </c>
      <c r="E10" s="38" t="s">
        <v>63</v>
      </c>
      <c r="F10" s="39" t="n">
        <v>7200</v>
      </c>
      <c r="G10" s="40" t="n">
        <f aca="false">D10*F10</f>
        <v>172800</v>
      </c>
      <c r="H10" s="39" t="n">
        <v>86400</v>
      </c>
      <c r="I10" s="40" t="n">
        <f aca="false">G10-H10</f>
        <v>86400</v>
      </c>
      <c r="J10" s="23" t="n">
        <f aca="false">IF(G10=0,0,H10/G10)</f>
        <v>0.5</v>
      </c>
    </row>
    <row r="11" customFormat="false" ht="15" hidden="false" customHeight="false" outlineLevel="0" collapsed="false">
      <c r="B11" s="41" t="s">
        <v>59</v>
      </c>
      <c r="C11" s="41" t="s">
        <v>65</v>
      </c>
      <c r="D11" s="42" t="n">
        <v>20</v>
      </c>
      <c r="E11" s="43" t="s">
        <v>63</v>
      </c>
      <c r="F11" s="44" t="n">
        <v>7800</v>
      </c>
      <c r="G11" s="45" t="n">
        <f aca="false">D11*F11</f>
        <v>156000</v>
      </c>
      <c r="H11" s="44" t="n">
        <v>70200</v>
      </c>
      <c r="I11" s="45" t="n">
        <f aca="false">G11-H11</f>
        <v>85800</v>
      </c>
      <c r="J11" s="29" t="n">
        <f aca="false">IF(G11=0,0,H11/G11)</f>
        <v>0.45</v>
      </c>
    </row>
    <row r="12" customFormat="false" ht="15" hidden="false" customHeight="false" outlineLevel="0" collapsed="false">
      <c r="B12" s="36" t="s">
        <v>59</v>
      </c>
      <c r="C12" s="36" t="s">
        <v>66</v>
      </c>
      <c r="D12" s="37" t="n">
        <v>12</v>
      </c>
      <c r="E12" s="38" t="s">
        <v>63</v>
      </c>
      <c r="F12" s="39" t="n">
        <v>5400</v>
      </c>
      <c r="G12" s="40" t="n">
        <f aca="false">D12*F12</f>
        <v>64800</v>
      </c>
      <c r="H12" s="39" t="n">
        <v>0</v>
      </c>
      <c r="I12" s="40" t="n">
        <f aca="false">G12-H12</f>
        <v>64800</v>
      </c>
      <c r="J12" s="23" t="n">
        <f aca="false">IF(G12=0,0,H12/G12)</f>
        <v>0</v>
      </c>
    </row>
    <row r="13" customFormat="false" ht="15" hidden="false" customHeight="false" outlineLevel="0" collapsed="false">
      <c r="B13" s="41" t="s">
        <v>67</v>
      </c>
      <c r="C13" s="41" t="s">
        <v>68</v>
      </c>
      <c r="D13" s="42" t="n">
        <v>1</v>
      </c>
      <c r="E13" s="43" t="s">
        <v>69</v>
      </c>
      <c r="F13" s="44" t="n">
        <v>45000</v>
      </c>
      <c r="G13" s="45" t="n">
        <f aca="false">D13*F13</f>
        <v>45000</v>
      </c>
      <c r="H13" s="44" t="n">
        <v>45000</v>
      </c>
      <c r="I13" s="45" t="n">
        <f aca="false">G13-H13</f>
        <v>0</v>
      </c>
      <c r="J13" s="29" t="n">
        <f aca="false">IF(G13=0,0,H13/G13)</f>
        <v>1</v>
      </c>
    </row>
    <row r="14" customFormat="false" ht="15" hidden="false" customHeight="false" outlineLevel="0" collapsed="false">
      <c r="B14" s="36" t="s">
        <v>67</v>
      </c>
      <c r="C14" s="36" t="s">
        <v>70</v>
      </c>
      <c r="D14" s="37" t="n">
        <v>9</v>
      </c>
      <c r="E14" s="38" t="s">
        <v>61</v>
      </c>
      <c r="F14" s="39" t="n">
        <v>3200</v>
      </c>
      <c r="G14" s="40" t="n">
        <f aca="false">D14*F14</f>
        <v>28800</v>
      </c>
      <c r="H14" s="39" t="n">
        <v>16000</v>
      </c>
      <c r="I14" s="40" t="n">
        <f aca="false">G14-H14</f>
        <v>12800</v>
      </c>
      <c r="J14" s="23" t="n">
        <f aca="false">IF(G14=0,0,H14/G14)</f>
        <v>0.555555555555556</v>
      </c>
    </row>
    <row r="15" customFormat="false" ht="15" hidden="false" customHeight="false" outlineLevel="0" collapsed="false">
      <c r="B15" s="41" t="s">
        <v>67</v>
      </c>
      <c r="C15" s="41" t="s">
        <v>71</v>
      </c>
      <c r="D15" s="42" t="n">
        <v>9</v>
      </c>
      <c r="E15" s="43" t="s">
        <v>61</v>
      </c>
      <c r="F15" s="44" t="n">
        <v>450</v>
      </c>
      <c r="G15" s="45" t="n">
        <f aca="false">D15*F15</f>
        <v>4050</v>
      </c>
      <c r="H15" s="44" t="n">
        <v>2250</v>
      </c>
      <c r="I15" s="45" t="n">
        <f aca="false">G15-H15</f>
        <v>1800</v>
      </c>
      <c r="J15" s="29" t="n">
        <f aca="false">IF(G15=0,0,H15/G15)</f>
        <v>0.555555555555556</v>
      </c>
    </row>
    <row r="16" customFormat="false" ht="15" hidden="false" customHeight="false" outlineLevel="0" collapsed="false">
      <c r="B16" s="36" t="s">
        <v>72</v>
      </c>
      <c r="C16" s="36" t="s">
        <v>73</v>
      </c>
      <c r="D16" s="37" t="n">
        <v>1</v>
      </c>
      <c r="E16" s="38" t="s">
        <v>74</v>
      </c>
      <c r="F16" s="39" t="n">
        <v>12000</v>
      </c>
      <c r="G16" s="40" t="n">
        <f aca="false">D16*F16</f>
        <v>12000</v>
      </c>
      <c r="H16" s="39" t="n">
        <v>12000</v>
      </c>
      <c r="I16" s="40" t="n">
        <f aca="false">G16-H16</f>
        <v>0</v>
      </c>
      <c r="J16" s="23" t="n">
        <f aca="false">IF(G16=0,0,H16/G16)</f>
        <v>1</v>
      </c>
    </row>
    <row r="17" customFormat="false" ht="15" hidden="false" customHeight="false" outlineLevel="0" collapsed="false">
      <c r="B17" s="41" t="s">
        <v>72</v>
      </c>
      <c r="C17" s="41" t="s">
        <v>75</v>
      </c>
      <c r="D17" s="42" t="n">
        <v>1</v>
      </c>
      <c r="E17" s="43" t="s">
        <v>74</v>
      </c>
      <c r="F17" s="44" t="n">
        <v>6000</v>
      </c>
      <c r="G17" s="45" t="n">
        <f aca="false">D17*F17</f>
        <v>6000</v>
      </c>
      <c r="H17" s="44" t="n">
        <v>0</v>
      </c>
      <c r="I17" s="45" t="n">
        <f aca="false">G17-H17</f>
        <v>6000</v>
      </c>
      <c r="J17" s="29" t="n">
        <f aca="false">IF(G17=0,0,H17/G17)</f>
        <v>0</v>
      </c>
    </row>
    <row r="18" customFormat="false" ht="15" hidden="false" customHeight="false" outlineLevel="0" collapsed="false">
      <c r="B18" s="36" t="s">
        <v>76</v>
      </c>
      <c r="C18" s="36" t="s">
        <v>77</v>
      </c>
      <c r="D18" s="37" t="n">
        <v>4</v>
      </c>
      <c r="E18" s="38" t="s">
        <v>78</v>
      </c>
      <c r="F18" s="39" t="n">
        <v>2500</v>
      </c>
      <c r="G18" s="40" t="n">
        <f aca="false">D18*F18</f>
        <v>10000</v>
      </c>
      <c r="H18" s="39" t="n">
        <v>0</v>
      </c>
      <c r="I18" s="40" t="n">
        <f aca="false">G18-H18</f>
        <v>10000</v>
      </c>
      <c r="J18" s="23" t="n">
        <f aca="false">IF(G18=0,0,H18/G18)</f>
        <v>0</v>
      </c>
    </row>
    <row r="19" customFormat="false" ht="15" hidden="false" customHeight="false" outlineLevel="0" collapsed="false">
      <c r="B19" s="41" t="s">
        <v>76</v>
      </c>
      <c r="C19" s="41" t="s">
        <v>79</v>
      </c>
      <c r="D19" s="42" t="n">
        <v>1</v>
      </c>
      <c r="E19" s="43" t="s">
        <v>74</v>
      </c>
      <c r="F19" s="44" t="n">
        <v>8000</v>
      </c>
      <c r="G19" s="45" t="n">
        <f aca="false">D19*F19</f>
        <v>8000</v>
      </c>
      <c r="H19" s="44" t="n">
        <v>0</v>
      </c>
      <c r="I19" s="45" t="n">
        <f aca="false">G19-H19</f>
        <v>8000</v>
      </c>
      <c r="J19" s="29" t="n">
        <f aca="false">IF(G19=0,0,H19/G19)</f>
        <v>0</v>
      </c>
    </row>
    <row r="20" customFormat="false" ht="15" hidden="false" customHeight="false" outlineLevel="0" collapsed="false">
      <c r="B20" s="36" t="s">
        <v>80</v>
      </c>
      <c r="C20" s="36" t="s">
        <v>81</v>
      </c>
      <c r="D20" s="37" t="n">
        <v>1</v>
      </c>
      <c r="E20" s="38" t="s">
        <v>74</v>
      </c>
      <c r="F20" s="39" t="n">
        <v>18000</v>
      </c>
      <c r="G20" s="40" t="n">
        <f aca="false">D20*F20</f>
        <v>18000</v>
      </c>
      <c r="H20" s="39" t="n">
        <v>0</v>
      </c>
      <c r="I20" s="40" t="n">
        <f aca="false">G20-H20</f>
        <v>18000</v>
      </c>
      <c r="J20" s="23" t="n">
        <f aca="false">IF(G20=0,0,H20/G20)</f>
        <v>0</v>
      </c>
    </row>
    <row r="21" customFormat="false" ht="15" hidden="false" customHeight="false" outlineLevel="0" collapsed="false">
      <c r="B21" s="41" t="s">
        <v>80</v>
      </c>
      <c r="C21" s="41" t="s">
        <v>82</v>
      </c>
      <c r="D21" s="42" t="n">
        <v>1</v>
      </c>
      <c r="E21" s="43" t="s">
        <v>74</v>
      </c>
      <c r="F21" s="44" t="n">
        <v>7500</v>
      </c>
      <c r="G21" s="45" t="n">
        <f aca="false">D21*F21</f>
        <v>7500</v>
      </c>
      <c r="H21" s="44" t="n">
        <v>0</v>
      </c>
      <c r="I21" s="45" t="n">
        <f aca="false">G21-H21</f>
        <v>7500</v>
      </c>
      <c r="J21" s="29" t="n">
        <f aca="false">IF(G21=0,0,H21/G21)</f>
        <v>0</v>
      </c>
    </row>
    <row r="22" customFormat="false" ht="15" hidden="false" customHeight="false" outlineLevel="0" collapsed="false">
      <c r="B22" s="46" t="s">
        <v>83</v>
      </c>
      <c r="C22" s="46"/>
      <c r="D22" s="46"/>
      <c r="E22" s="46"/>
      <c r="F22" s="46"/>
      <c r="G22" s="47" t="n">
        <f aca="false">SUM(G8:G21)</f>
        <v>723950</v>
      </c>
      <c r="H22" s="47" t="n">
        <f aca="false">SUM(H8:H21)</f>
        <v>370100</v>
      </c>
      <c r="I22" s="47" t="n">
        <f aca="false">G22-H22</f>
        <v>353850</v>
      </c>
      <c r="J22" s="48" t="n">
        <f aca="false">IF(G22=0,0,H22/G22)</f>
        <v>0.511223150770081</v>
      </c>
    </row>
    <row r="23" customFormat="false" ht="15" hidden="false" customHeight="false" outlineLevel="0" collapsed="false">
      <c r="B23" s="49" t="s">
        <v>84</v>
      </c>
      <c r="C23" s="49"/>
      <c r="D23" s="49"/>
      <c r="E23" s="49"/>
      <c r="F23" s="49"/>
      <c r="G23" s="50" t="n">
        <f aca="false">G22*'Cost Breakdown'!$C$5</f>
        <v>72395</v>
      </c>
      <c r="H23" s="50"/>
      <c r="I23" s="50" t="n">
        <f aca="false">G23-H23</f>
        <v>72395</v>
      </c>
      <c r="J23" s="51"/>
    </row>
    <row r="24" customFormat="false" ht="24" hidden="false" customHeight="true" outlineLevel="0" collapsed="false">
      <c r="B24" s="52" t="s">
        <v>85</v>
      </c>
      <c r="C24" s="52"/>
      <c r="D24" s="52"/>
      <c r="E24" s="52"/>
      <c r="F24" s="52"/>
      <c r="G24" s="53" t="n">
        <f aca="false">G22+G23</f>
        <v>796345</v>
      </c>
      <c r="H24" s="53" t="n">
        <f aca="false">H22+H23</f>
        <v>370100</v>
      </c>
      <c r="I24" s="53" t="n">
        <f aca="false">G24-H24</f>
        <v>426245</v>
      </c>
      <c r="J24" s="54" t="n">
        <f aca="false">IF(G24=0,0,H24/G24)</f>
        <v>0.464748318881892</v>
      </c>
    </row>
    <row r="27" customFormat="false" ht="21.75" hidden="false" customHeight="true" outlineLevel="0" collapsed="false">
      <c r="B27" s="3" t="s">
        <v>86</v>
      </c>
      <c r="C27" s="3"/>
      <c r="D27" s="3"/>
      <c r="E27" s="3"/>
      <c r="F27" s="3"/>
    </row>
    <row r="28" customFormat="false" ht="31.5" hidden="false" customHeight="true" outlineLevel="0" collapsed="false">
      <c r="B28" s="20" t="s">
        <v>34</v>
      </c>
      <c r="C28" s="20" t="s">
        <v>35</v>
      </c>
      <c r="D28" s="20" t="s">
        <v>36</v>
      </c>
      <c r="E28" s="20" t="s">
        <v>58</v>
      </c>
      <c r="F28" s="20" t="s">
        <v>37</v>
      </c>
    </row>
    <row r="29" customFormat="false" ht="15" hidden="false" customHeight="false" outlineLevel="0" collapsed="false">
      <c r="B29" s="25" t="s">
        <v>59</v>
      </c>
      <c r="C29" s="40" t="n">
        <f aca="false">SUMIFS($G$8:$G$21,$B$8:$B$21,B29)</f>
        <v>584600</v>
      </c>
      <c r="D29" s="40" t="n">
        <f aca="false">SUMIFS($H$8:$H$21,$B$8:$B$21,B29)</f>
        <v>294850</v>
      </c>
      <c r="E29" s="40" t="n">
        <f aca="false">C29-D29</f>
        <v>289750</v>
      </c>
      <c r="F29" s="23" t="n">
        <f aca="false">IF(C29=0,0,D29/C29)</f>
        <v>0.504361956893602</v>
      </c>
    </row>
    <row r="30" customFormat="false" ht="15" hidden="false" customHeight="false" outlineLevel="0" collapsed="false">
      <c r="B30" s="55" t="s">
        <v>67</v>
      </c>
      <c r="C30" s="45" t="n">
        <f aca="false">SUMIFS($G$8:$G$21,$B$8:$B$21,B30)</f>
        <v>77850</v>
      </c>
      <c r="D30" s="45" t="n">
        <f aca="false">SUMIFS($H$8:$H$21,$B$8:$B$21,B30)</f>
        <v>63250</v>
      </c>
      <c r="E30" s="45" t="n">
        <f aca="false">C30-D30</f>
        <v>14600</v>
      </c>
      <c r="F30" s="29" t="n">
        <f aca="false">IF(C30=0,0,D30/C30)</f>
        <v>0.812459858702633</v>
      </c>
    </row>
    <row r="31" customFormat="false" ht="15" hidden="false" customHeight="false" outlineLevel="0" collapsed="false">
      <c r="B31" s="25" t="s">
        <v>72</v>
      </c>
      <c r="C31" s="40" t="n">
        <f aca="false">SUMIFS($G$8:$G$21,$B$8:$B$21,B31)</f>
        <v>18000</v>
      </c>
      <c r="D31" s="40" t="n">
        <f aca="false">SUMIFS($H$8:$H$21,$B$8:$B$21,B31)</f>
        <v>12000</v>
      </c>
      <c r="E31" s="40" t="n">
        <f aca="false">C31-D31</f>
        <v>6000</v>
      </c>
      <c r="F31" s="23" t="n">
        <f aca="false">IF(C31=0,0,D31/C31)</f>
        <v>0.666666666666667</v>
      </c>
    </row>
    <row r="32" customFormat="false" ht="15" hidden="false" customHeight="false" outlineLevel="0" collapsed="false">
      <c r="B32" s="55" t="s">
        <v>76</v>
      </c>
      <c r="C32" s="45" t="n">
        <f aca="false">SUMIFS($G$8:$G$21,$B$8:$B$21,B32)</f>
        <v>18000</v>
      </c>
      <c r="D32" s="45" t="n">
        <f aca="false">SUMIFS($H$8:$H$21,$B$8:$B$21,B32)</f>
        <v>0</v>
      </c>
      <c r="E32" s="45" t="n">
        <f aca="false">C32-D32</f>
        <v>18000</v>
      </c>
      <c r="F32" s="29" t="n">
        <f aca="false">IF(C32=0,0,D32/C32)</f>
        <v>0</v>
      </c>
    </row>
    <row r="33" customFormat="false" ht="15" hidden="false" customHeight="false" outlineLevel="0" collapsed="false">
      <c r="B33" s="25" t="s">
        <v>80</v>
      </c>
      <c r="C33" s="40" t="n">
        <f aca="false">SUMIFS($G$8:$G$21,$B$8:$B$21,B33)</f>
        <v>25500</v>
      </c>
      <c r="D33" s="40" t="n">
        <f aca="false">SUMIFS($H$8:$H$21,$B$8:$B$21,B33)</f>
        <v>0</v>
      </c>
      <c r="E33" s="40" t="n">
        <f aca="false">C33-D33</f>
        <v>25500</v>
      </c>
      <c r="F33" s="23" t="n">
        <f aca="false">IF(C33=0,0,D33/C33)</f>
        <v>0</v>
      </c>
    </row>
    <row r="34" customFormat="false" ht="15" hidden="false" customHeight="false" outlineLevel="0" collapsed="false">
      <c r="B34" s="56" t="s">
        <v>87</v>
      </c>
      <c r="C34" s="57" t="n">
        <f aca="false">SUM(C29:C33)</f>
        <v>723950</v>
      </c>
      <c r="D34" s="57" t="n">
        <f aca="false">SUM(D29:D33)</f>
        <v>370100</v>
      </c>
      <c r="E34" s="57" t="n">
        <f aca="false">C34-D34</f>
        <v>353850</v>
      </c>
      <c r="F34" s="58" t="n">
        <f aca="false">IF(C34=0,0,D34/C34)</f>
        <v>0.511223150770081</v>
      </c>
    </row>
    <row r="37" customFormat="false" ht="21.75" hidden="false" customHeight="true" outlineLevel="0" collapsed="false">
      <c r="B37" s="3" t="s">
        <v>88</v>
      </c>
      <c r="C37" s="3"/>
      <c r="D37" s="3"/>
      <c r="E37" s="3"/>
      <c r="F37" s="3"/>
      <c r="G37" s="3"/>
    </row>
    <row r="38" customFormat="false" ht="31.5" hidden="false" customHeight="true" outlineLevel="0" collapsed="false">
      <c r="B38" s="20" t="s">
        <v>89</v>
      </c>
      <c r="C38" s="20" t="s">
        <v>90</v>
      </c>
      <c r="D38" s="20" t="s">
        <v>91</v>
      </c>
      <c r="E38" s="20" t="s">
        <v>36</v>
      </c>
      <c r="F38" s="20" t="s">
        <v>92</v>
      </c>
      <c r="G38" s="20" t="s">
        <v>93</v>
      </c>
    </row>
    <row r="39" customFormat="false" ht="15" hidden="false" customHeight="false" outlineLevel="0" collapsed="false">
      <c r="B39" s="59" t="n">
        <v>46327</v>
      </c>
      <c r="C39" s="60" t="n">
        <v>0.06</v>
      </c>
      <c r="D39" s="40" t="n">
        <f aca="false">$G$22*C39</f>
        <v>43437</v>
      </c>
      <c r="E39" s="39" t="n">
        <v>38500</v>
      </c>
      <c r="F39" s="40" t="n">
        <f aca="false">D39</f>
        <v>43437</v>
      </c>
      <c r="G39" s="40" t="n">
        <f aca="false">E39</f>
        <v>38500</v>
      </c>
    </row>
    <row r="40" customFormat="false" ht="15" hidden="false" customHeight="false" outlineLevel="0" collapsed="false">
      <c r="B40" s="61" t="n">
        <v>46357</v>
      </c>
      <c r="C40" s="62" t="n">
        <v>0.09</v>
      </c>
      <c r="D40" s="45" t="n">
        <f aca="false">$G$22*C40</f>
        <v>65155.5</v>
      </c>
      <c r="E40" s="44" t="n">
        <v>61200</v>
      </c>
      <c r="F40" s="45" t="n">
        <f aca="false">F39+D40</f>
        <v>108592.5</v>
      </c>
      <c r="G40" s="45" t="n">
        <f aca="false">G39+E40</f>
        <v>99700</v>
      </c>
    </row>
    <row r="41" customFormat="false" ht="15" hidden="false" customHeight="false" outlineLevel="0" collapsed="false">
      <c r="B41" s="59" t="n">
        <v>46388</v>
      </c>
      <c r="C41" s="60" t="n">
        <v>0.14</v>
      </c>
      <c r="D41" s="40" t="n">
        <f aca="false">$G$22*C41</f>
        <v>101353</v>
      </c>
      <c r="E41" s="39" t="n">
        <v>102400</v>
      </c>
      <c r="F41" s="40" t="n">
        <f aca="false">F40+D41</f>
        <v>209945.5</v>
      </c>
      <c r="G41" s="40" t="n">
        <f aca="false">G40+E41</f>
        <v>202100</v>
      </c>
    </row>
    <row r="42" customFormat="false" ht="15" hidden="false" customHeight="false" outlineLevel="0" collapsed="false">
      <c r="B42" s="61" t="n">
        <v>46419</v>
      </c>
      <c r="C42" s="62" t="n">
        <v>0.13</v>
      </c>
      <c r="D42" s="45" t="n">
        <f aca="false">$G$22*C42</f>
        <v>94113.5</v>
      </c>
      <c r="E42" s="44" t="n">
        <v>79300</v>
      </c>
      <c r="F42" s="45" t="n">
        <f aca="false">F41+D42</f>
        <v>304059</v>
      </c>
      <c r="G42" s="45" t="n">
        <f aca="false">G41+E42</f>
        <v>281400</v>
      </c>
    </row>
    <row r="43" customFormat="false" ht="15" hidden="false" customHeight="false" outlineLevel="0" collapsed="false">
      <c r="B43" s="59" t="n">
        <v>46447</v>
      </c>
      <c r="C43" s="60" t="n">
        <v>0.13</v>
      </c>
      <c r="D43" s="40" t="n">
        <f aca="false">$G$22*C43</f>
        <v>94113.5</v>
      </c>
      <c r="E43" s="39" t="n">
        <v>88700</v>
      </c>
      <c r="F43" s="40" t="n">
        <f aca="false">F42+D43</f>
        <v>398172.5</v>
      </c>
      <c r="G43" s="40" t="n">
        <f aca="false">G42+E43</f>
        <v>370100</v>
      </c>
    </row>
    <row r="44" customFormat="false" ht="15" hidden="false" customHeight="false" outlineLevel="0" collapsed="false">
      <c r="B44" s="61" t="n">
        <v>46478</v>
      </c>
      <c r="C44" s="62" t="n">
        <v>0.14</v>
      </c>
      <c r="D44" s="45" t="n">
        <f aca="false">$G$22*C44</f>
        <v>101353</v>
      </c>
      <c r="E44" s="44"/>
      <c r="F44" s="45" t="n">
        <f aca="false">F43+D44</f>
        <v>499525.5</v>
      </c>
      <c r="G44" s="45"/>
    </row>
    <row r="45" customFormat="false" ht="15" hidden="false" customHeight="false" outlineLevel="0" collapsed="false">
      <c r="B45" s="59" t="n">
        <v>46508</v>
      </c>
      <c r="C45" s="60" t="n">
        <v>0.13</v>
      </c>
      <c r="D45" s="40" t="n">
        <f aca="false">$G$22*C45</f>
        <v>94113.5</v>
      </c>
      <c r="E45" s="39"/>
      <c r="F45" s="40" t="n">
        <f aca="false">F44+D45</f>
        <v>593639</v>
      </c>
      <c r="G45" s="40"/>
    </row>
    <row r="46" customFormat="false" ht="15" hidden="false" customHeight="false" outlineLevel="0" collapsed="false">
      <c r="B46" s="61" t="n">
        <v>46539</v>
      </c>
      <c r="C46" s="62" t="n">
        <v>0.11</v>
      </c>
      <c r="D46" s="45" t="n">
        <f aca="false">$G$22*C46</f>
        <v>79634.5</v>
      </c>
      <c r="E46" s="44"/>
      <c r="F46" s="45" t="n">
        <f aca="false">F45+D46</f>
        <v>673273.5</v>
      </c>
      <c r="G46" s="45"/>
    </row>
    <row r="47" customFormat="false" ht="15" hidden="false" customHeight="false" outlineLevel="0" collapsed="false">
      <c r="B47" s="59" t="n">
        <v>46569</v>
      </c>
      <c r="C47" s="60" t="n">
        <v>0.07</v>
      </c>
      <c r="D47" s="40" t="n">
        <f aca="false">$G$22*C47</f>
        <v>50676.5</v>
      </c>
      <c r="E47" s="39"/>
      <c r="F47" s="40" t="n">
        <f aca="false">F46+D47</f>
        <v>723950</v>
      </c>
      <c r="G47" s="40"/>
    </row>
    <row r="48" customFormat="false" ht="15" hidden="false" customHeight="false" outlineLevel="0" collapsed="false">
      <c r="B48" s="56" t="s">
        <v>94</v>
      </c>
      <c r="C48" s="63" t="n">
        <f aca="false">SUM(C39:C47)</f>
        <v>1</v>
      </c>
      <c r="D48" s="57" t="n">
        <f aca="false">SUM(D39:D47)</f>
        <v>723950</v>
      </c>
      <c r="E48" s="57" t="n">
        <f aca="false">SUM(E39:E47)</f>
        <v>370100</v>
      </c>
    </row>
    <row r="49" customFormat="false" ht="15" hidden="false" customHeight="false" outlineLevel="0" collapsed="false">
      <c r="B49" s="30" t="s">
        <v>95</v>
      </c>
      <c r="F49" s="64" t="str">
        <f aca="false">IF(AND(ABS(C48-1)&lt;0.0001,ABS(E48-H22)&lt;1),"OK","CHECK")</f>
        <v>OK</v>
      </c>
    </row>
  </sheetData>
  <mergeCells count="7">
    <mergeCell ref="B2:J2"/>
    <mergeCell ref="B3:J3"/>
    <mergeCell ref="B22:F22"/>
    <mergeCell ref="B23:F23"/>
    <mergeCell ref="B24:F24"/>
    <mergeCell ref="B27:F27"/>
    <mergeCell ref="B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EB9B"/>
    <pageSetUpPr fitToPage="true"/>
  </sheetPr>
  <dimension ref="B2:S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6" min="5" style="0" width="13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9" min="11" style="0" width="7.5"/>
  </cols>
  <sheetData>
    <row r="2" customFormat="false" ht="33.75" hidden="false" customHeight="true" outlineLevel="0" collapsed="false">
      <c r="B2" s="31" t="s">
        <v>96</v>
      </c>
      <c r="C2" s="31"/>
      <c r="D2" s="31"/>
      <c r="E2" s="31"/>
      <c r="F2" s="31"/>
      <c r="G2" s="31"/>
      <c r="H2" s="31"/>
      <c r="I2" s="31"/>
      <c r="J2" s="31"/>
    </row>
    <row r="3" customFormat="false" ht="19.5" hidden="false" customHeight="true" outlineLevel="0" collapsed="false">
      <c r="B3" s="32" t="s">
        <v>97</v>
      </c>
      <c r="C3" s="32"/>
      <c r="D3" s="32"/>
      <c r="E3" s="32"/>
      <c r="F3" s="32"/>
      <c r="G3" s="32"/>
      <c r="H3" s="32"/>
      <c r="I3" s="32"/>
      <c r="J3" s="32"/>
    </row>
    <row r="4" customFormat="false" ht="15" hidden="false" customHeight="false" outlineLevel="0" collapsed="false">
      <c r="B4" s="65" t="s">
        <v>15</v>
      </c>
      <c r="C4" s="65"/>
      <c r="D4" s="35" t="n">
        <f aca="false">'Executive Summary'!$C$10</f>
        <v>46477</v>
      </c>
      <c r="K4" s="66"/>
      <c r="L4" s="67"/>
      <c r="M4" s="67"/>
      <c r="N4" s="67"/>
      <c r="O4" s="67"/>
      <c r="P4" s="67"/>
      <c r="Q4" s="67"/>
      <c r="R4" s="67"/>
      <c r="S4" s="67"/>
    </row>
    <row r="5" customFormat="false" ht="15" hidden="false" customHeight="false" outlineLevel="0" collapsed="false">
      <c r="K5" s="67"/>
      <c r="L5" s="67"/>
      <c r="M5" s="67"/>
      <c r="N5" s="67"/>
      <c r="O5" s="67"/>
      <c r="P5" s="67"/>
      <c r="Q5" s="67"/>
      <c r="R5" s="67"/>
      <c r="S5" s="67"/>
    </row>
    <row r="6" customFormat="false" ht="48" hidden="false" customHeight="true" outlineLevel="0" collapsed="false">
      <c r="B6" s="20" t="s">
        <v>98</v>
      </c>
      <c r="C6" s="20" t="s">
        <v>99</v>
      </c>
      <c r="D6" s="20" t="s">
        <v>100</v>
      </c>
      <c r="E6" s="20" t="s">
        <v>101</v>
      </c>
      <c r="F6" s="20" t="s">
        <v>102</v>
      </c>
      <c r="G6" s="20" t="s">
        <v>103</v>
      </c>
      <c r="H6" s="20" t="s">
        <v>104</v>
      </c>
      <c r="I6" s="20" t="s">
        <v>105</v>
      </c>
      <c r="J6" s="20" t="s">
        <v>106</v>
      </c>
      <c r="K6" s="68"/>
      <c r="L6" s="68"/>
      <c r="M6" s="68"/>
      <c r="N6" s="68"/>
      <c r="O6" s="68"/>
      <c r="P6" s="68"/>
      <c r="Q6" s="68"/>
      <c r="R6" s="68"/>
      <c r="S6" s="68"/>
    </row>
    <row r="7" customFormat="false" ht="15" hidden="false" customHeight="false" outlineLevel="0" collapsed="false">
      <c r="B7" s="69" t="n">
        <v>1</v>
      </c>
      <c r="C7" s="36" t="s">
        <v>107</v>
      </c>
      <c r="D7" s="36" t="s">
        <v>108</v>
      </c>
      <c r="E7" s="70" t="n">
        <v>46328</v>
      </c>
      <c r="F7" s="70" t="n">
        <v>46353</v>
      </c>
      <c r="G7" s="69" t="n">
        <f aca="false">DATE(YEAR(F7),MONTH(F7),DAY(F7))-DATE(YEAR(E7),MONTH(E7),DAY(E7))+1</f>
        <v>26</v>
      </c>
      <c r="H7" s="69" t="n">
        <f aca="false">NETWORKDAYS(DATE(YEAR(E7),MONTH(E7),DAY(E7)),DATE(YEAR(F7),MONTH(F7),DAY(F7)))</f>
        <v>20</v>
      </c>
      <c r="I7" s="60" t="n">
        <v>1</v>
      </c>
      <c r="J7" s="64" t="str">
        <f aca="false">IF(I7&gt;=1,"Complete",IF(DATE(YEAR('Executive Summary'!$C$10),MONTH('Executive Summary'!$C$10),DAY('Executive Summary'!$C$10))&gt;DATE(YEAR(F7),MONTH(F7),DAY(F7)),"Overdue",IF(DATE(YEAR('Executive Summary'!$C$10),MONTH('Executive Summary'!$C$10),DAY('Executive Summary'!$C$10))&gt;=DATE(YEAR(E7),MONTH(E7),DAY(E7)),"In Progress","Not Started")))</f>
        <v>Complete</v>
      </c>
      <c r="K7" s="67"/>
      <c r="L7" s="67"/>
      <c r="M7" s="67"/>
      <c r="N7" s="67"/>
      <c r="O7" s="67"/>
      <c r="P7" s="67"/>
      <c r="Q7" s="67"/>
      <c r="R7" s="67"/>
      <c r="S7" s="67"/>
    </row>
    <row r="8" customFormat="false" ht="15" hidden="false" customHeight="false" outlineLevel="0" collapsed="false">
      <c r="B8" s="71" t="n">
        <v>2</v>
      </c>
      <c r="C8" s="41" t="s">
        <v>109</v>
      </c>
      <c r="D8" s="41" t="s">
        <v>110</v>
      </c>
      <c r="E8" s="72" t="n">
        <v>46356</v>
      </c>
      <c r="F8" s="72" t="n">
        <v>46409</v>
      </c>
      <c r="G8" s="71" t="n">
        <f aca="false">DATE(YEAR(F8),MONTH(F8),DAY(F8))-DATE(YEAR(E8),MONTH(E8),DAY(E8))+1</f>
        <v>54</v>
      </c>
      <c r="H8" s="71" t="n">
        <f aca="false">NETWORKDAYS(DATE(YEAR(E8),MONTH(E8),DAY(E8)),DATE(YEAR(F8),MONTH(F8),DAY(F8)))</f>
        <v>40</v>
      </c>
      <c r="I8" s="62" t="n">
        <v>0.95</v>
      </c>
      <c r="J8" s="73" t="str">
        <f aca="false">IF(I8&gt;=1,"Complete",IF(DATE(YEAR('Executive Summary'!$C$10),MONTH('Executive Summary'!$C$10),DAY('Executive Summary'!$C$10))&gt;DATE(YEAR(F8),MONTH(F8),DAY(F8)),"Overdue",IF(DATE(YEAR('Executive Summary'!$C$10),MONTH('Executive Summary'!$C$10),DAY('Executive Summary'!$C$10))&gt;=DATE(YEAR(E8),MONTH(E8),DAY(E8)),"In Progress","Not Started")))</f>
        <v>Overdue</v>
      </c>
      <c r="K8" s="67"/>
      <c r="L8" s="67"/>
      <c r="M8" s="67"/>
      <c r="N8" s="67"/>
      <c r="O8" s="67"/>
      <c r="P8" s="67"/>
      <c r="Q8" s="67"/>
      <c r="R8" s="67"/>
      <c r="S8" s="67"/>
    </row>
    <row r="9" customFormat="false" ht="15" hidden="false" customHeight="false" outlineLevel="0" collapsed="false">
      <c r="B9" s="69" t="n">
        <v>3</v>
      </c>
      <c r="C9" s="36" t="s">
        <v>111</v>
      </c>
      <c r="D9" s="36" t="s">
        <v>112</v>
      </c>
      <c r="E9" s="70" t="n">
        <v>46391</v>
      </c>
      <c r="F9" s="70" t="n">
        <v>46507</v>
      </c>
      <c r="G9" s="69" t="n">
        <f aca="false">DATE(YEAR(F9),MONTH(F9),DAY(F9))-DATE(YEAR(E9),MONTH(E9),DAY(E9))+1</f>
        <v>117</v>
      </c>
      <c r="H9" s="69" t="n">
        <f aca="false">NETWORKDAYS(DATE(YEAR(E9),MONTH(E9),DAY(E9)),DATE(YEAR(F9),MONTH(F9),DAY(F9)))</f>
        <v>85</v>
      </c>
      <c r="I9" s="60" t="n">
        <v>0.6</v>
      </c>
      <c r="J9" s="64" t="str">
        <f aca="false">IF(I9&gt;=1,"Complete",IF(DATE(YEAR('Executive Summary'!$C$10),MONTH('Executive Summary'!$C$10),DAY('Executive Summary'!$C$10))&gt;DATE(YEAR(F9),MONTH(F9),DAY(F9)),"Overdue",IF(DATE(YEAR('Executive Summary'!$C$10),MONTH('Executive Summary'!$C$10),DAY('Executive Summary'!$C$10))&gt;=DATE(YEAR(E9),MONTH(E9),DAY(E9)),"In Progress","Not Started")))</f>
        <v>In Progress</v>
      </c>
      <c r="K9" s="67"/>
      <c r="L9" s="67"/>
      <c r="M9" s="67"/>
      <c r="N9" s="67"/>
      <c r="O9" s="67"/>
      <c r="P9" s="67"/>
      <c r="Q9" s="67"/>
      <c r="R9" s="67"/>
      <c r="S9" s="67"/>
    </row>
    <row r="10" customFormat="false" ht="15" hidden="false" customHeight="false" outlineLevel="0" collapsed="false">
      <c r="B10" s="71" t="n">
        <v>4</v>
      </c>
      <c r="C10" s="41" t="s">
        <v>113</v>
      </c>
      <c r="D10" s="41" t="s">
        <v>114</v>
      </c>
      <c r="E10" s="72" t="n">
        <v>46398</v>
      </c>
      <c r="F10" s="72" t="n">
        <v>46521</v>
      </c>
      <c r="G10" s="71" t="n">
        <f aca="false">DATE(YEAR(F10),MONTH(F10),DAY(F10))-DATE(YEAR(E10),MONTH(E10),DAY(E10))+1</f>
        <v>124</v>
      </c>
      <c r="H10" s="71" t="n">
        <f aca="false">NETWORKDAYS(DATE(YEAR(E10),MONTH(E10),DAY(E10)),DATE(YEAR(F10),MONTH(F10),DAY(F10)))</f>
        <v>90</v>
      </c>
      <c r="I10" s="62" t="n">
        <v>0.5</v>
      </c>
      <c r="J10" s="73" t="str">
        <f aca="false">IF(I10&gt;=1,"Complete",IF(DATE(YEAR('Executive Summary'!$C$10),MONTH('Executive Summary'!$C$10),DAY('Executive Summary'!$C$10))&gt;DATE(YEAR(F10),MONTH(F10),DAY(F10)),"Overdue",IF(DATE(YEAR('Executive Summary'!$C$10),MONTH('Executive Summary'!$C$10),DAY('Executive Summary'!$C$10))&gt;=DATE(YEAR(E10),MONTH(E10),DAY(E10)),"In Progress","Not Started")))</f>
        <v>In Progress</v>
      </c>
      <c r="K10" s="67"/>
      <c r="L10" s="67"/>
      <c r="M10" s="67"/>
      <c r="N10" s="67"/>
      <c r="O10" s="67"/>
      <c r="P10" s="67"/>
      <c r="Q10" s="67"/>
      <c r="R10" s="67"/>
      <c r="S10" s="67"/>
    </row>
    <row r="11" customFormat="false" ht="15" hidden="false" customHeight="false" outlineLevel="0" collapsed="false">
      <c r="B11" s="69" t="n">
        <v>5</v>
      </c>
      <c r="C11" s="36" t="s">
        <v>115</v>
      </c>
      <c r="D11" s="36" t="s">
        <v>116</v>
      </c>
      <c r="E11" s="70" t="n">
        <v>46482</v>
      </c>
      <c r="F11" s="70" t="n">
        <v>46549</v>
      </c>
      <c r="G11" s="69" t="n">
        <f aca="false">DATE(YEAR(F11),MONTH(F11),DAY(F11))-DATE(YEAR(E11),MONTH(E11),DAY(E11))+1</f>
        <v>68</v>
      </c>
      <c r="H11" s="69" t="n">
        <f aca="false">NETWORKDAYS(DATE(YEAR(E11),MONTH(E11),DAY(E11)),DATE(YEAR(F11),MONTH(F11),DAY(F11)))</f>
        <v>50</v>
      </c>
      <c r="I11" s="60" t="n">
        <v>0</v>
      </c>
      <c r="J11" s="64" t="str">
        <f aca="false">IF(I11&gt;=1,"Complete",IF(DATE(YEAR('Executive Summary'!$C$10),MONTH('Executive Summary'!$C$10),DAY('Executive Summary'!$C$10))&gt;DATE(YEAR(F11),MONTH(F11),DAY(F11)),"Overdue",IF(DATE(YEAR('Executive Summary'!$C$10),MONTH('Executive Summary'!$C$10),DAY('Executive Summary'!$C$10))&gt;=DATE(YEAR(E11),MONTH(E11),DAY(E11)),"In Progress","Not Started")))</f>
        <v>Not Started</v>
      </c>
      <c r="K11" s="67"/>
      <c r="L11" s="67"/>
      <c r="M11" s="67"/>
      <c r="N11" s="67"/>
      <c r="O11" s="67"/>
      <c r="P11" s="67"/>
      <c r="Q11" s="67"/>
      <c r="R11" s="67"/>
      <c r="S11" s="67"/>
    </row>
    <row r="12" customFormat="false" ht="15" hidden="false" customHeight="false" outlineLevel="0" collapsed="false">
      <c r="B12" s="71" t="n">
        <v>6</v>
      </c>
      <c r="C12" s="41" t="s">
        <v>117</v>
      </c>
      <c r="D12" s="41" t="s">
        <v>118</v>
      </c>
      <c r="E12" s="72" t="n">
        <v>46539</v>
      </c>
      <c r="F12" s="72" t="n">
        <v>46584</v>
      </c>
      <c r="G12" s="71" t="n">
        <f aca="false">DATE(YEAR(F12),MONTH(F12),DAY(F12))-DATE(YEAR(E12),MONTH(E12),DAY(E12))+1</f>
        <v>46</v>
      </c>
      <c r="H12" s="71" t="n">
        <f aca="false">NETWORKDAYS(DATE(YEAR(E12),MONTH(E12),DAY(E12)),DATE(YEAR(F12),MONTH(F12),DAY(F12)))</f>
        <v>34</v>
      </c>
      <c r="I12" s="62" t="n">
        <v>0</v>
      </c>
      <c r="J12" s="73" t="str">
        <f aca="false">IF(I12&gt;=1,"Complete",IF(DATE(YEAR('Executive Summary'!$C$10),MONTH('Executive Summary'!$C$10),DAY('Executive Summary'!$C$10))&gt;DATE(YEAR(F12),MONTH(F12),DAY(F12)),"Overdue",IF(DATE(YEAR('Executive Summary'!$C$10),MONTH('Executive Summary'!$C$10),DAY('Executive Summary'!$C$10))&gt;=DATE(YEAR(E12),MONTH(E12),DAY(E12)),"In Progress","Not Started")))</f>
        <v>Not Started</v>
      </c>
      <c r="K12" s="67"/>
      <c r="L12" s="67"/>
      <c r="M12" s="67"/>
      <c r="N12" s="67"/>
      <c r="O12" s="67"/>
      <c r="P12" s="67"/>
      <c r="Q12" s="67"/>
      <c r="R12" s="67"/>
      <c r="S12" s="67"/>
    </row>
    <row r="13" customFormat="false" ht="15" hidden="false" customHeight="false" outlineLevel="0" collapsed="false">
      <c r="B13" s="69" t="n">
        <v>7</v>
      </c>
      <c r="C13" s="36" t="s">
        <v>119</v>
      </c>
      <c r="D13" s="36" t="s">
        <v>108</v>
      </c>
      <c r="E13" s="70" t="n">
        <v>46587</v>
      </c>
      <c r="F13" s="70" t="n">
        <v>46598</v>
      </c>
      <c r="G13" s="69" t="n">
        <f aca="false">DATE(YEAR(F13),MONTH(F13),DAY(F13))-DATE(YEAR(E13),MONTH(E13),DAY(E13))+1</f>
        <v>12</v>
      </c>
      <c r="H13" s="69" t="n">
        <f aca="false">NETWORKDAYS(DATE(YEAR(E13),MONTH(E13),DAY(E13)),DATE(YEAR(F13),MONTH(F13),DAY(F13)))</f>
        <v>10</v>
      </c>
      <c r="I13" s="60" t="n">
        <v>0</v>
      </c>
      <c r="J13" s="64" t="str">
        <f aca="false">IF(I13&gt;=1,"Complete",IF(DATE(YEAR('Executive Summary'!$C$10),MONTH('Executive Summary'!$C$10),DAY('Executive Summary'!$C$10))&gt;DATE(YEAR(F13),MONTH(F13),DAY(F13)),"Overdue",IF(DATE(YEAR('Executive Summary'!$C$10),MONTH('Executive Summary'!$C$10),DAY('Executive Summary'!$C$10))&gt;=DATE(YEAR(E13),MONTH(E13),DAY(E13)),"In Progress","Not Started")))</f>
        <v>Not Started</v>
      </c>
      <c r="K13" s="67"/>
      <c r="L13" s="67"/>
      <c r="M13" s="67"/>
      <c r="N13" s="67"/>
      <c r="O13" s="67"/>
      <c r="P13" s="67"/>
      <c r="Q13" s="67"/>
      <c r="R13" s="67"/>
      <c r="S13" s="67"/>
    </row>
    <row r="14" customFormat="false" ht="15" hidden="false" customHeight="false" outlineLevel="0" collapsed="false">
      <c r="B14" s="52" t="s">
        <v>120</v>
      </c>
      <c r="C14" s="52"/>
      <c r="D14" s="52"/>
      <c r="E14" s="52"/>
      <c r="F14" s="52"/>
      <c r="G14" s="52"/>
      <c r="H14" s="52"/>
      <c r="I14" s="74" t="n">
        <f aca="false">SUMPRODUCT(G7:G13,I7:I13)/SUM(G7:G13)</f>
        <v>0.468680089485459</v>
      </c>
      <c r="J14" s="75"/>
      <c r="K14" s="67"/>
      <c r="L14" s="67"/>
      <c r="M14" s="67"/>
      <c r="N14" s="67"/>
      <c r="O14" s="67"/>
      <c r="P14" s="67"/>
      <c r="Q14" s="67"/>
      <c r="R14" s="67"/>
      <c r="S14" s="67"/>
    </row>
    <row r="17" customFormat="false" ht="21.75" hidden="false" customHeight="true" outlineLevel="0" collapsed="false">
      <c r="B17" s="3" t="s">
        <v>121</v>
      </c>
      <c r="C17" s="3"/>
      <c r="D17" s="3"/>
      <c r="E17" s="3"/>
      <c r="F17" s="3"/>
      <c r="G17" s="3"/>
      <c r="H17" s="3"/>
      <c r="I17" s="3"/>
    </row>
    <row r="18" customFormat="false" ht="31.5" hidden="false" customHeight="true" outlineLevel="0" collapsed="false">
      <c r="B18" s="20" t="s">
        <v>98</v>
      </c>
      <c r="C18" s="20" t="s">
        <v>122</v>
      </c>
      <c r="D18" s="20" t="s">
        <v>99</v>
      </c>
      <c r="E18" s="20" t="s">
        <v>123</v>
      </c>
      <c r="F18" s="20" t="s">
        <v>106</v>
      </c>
      <c r="G18" s="20" t="s">
        <v>124</v>
      </c>
    </row>
    <row r="19" customFormat="false" ht="15" hidden="false" customHeight="false" outlineLevel="0" collapsed="false">
      <c r="B19" s="69" t="n">
        <v>1</v>
      </c>
      <c r="C19" s="76" t="s">
        <v>125</v>
      </c>
      <c r="D19" s="36" t="s">
        <v>107</v>
      </c>
      <c r="E19" s="70" t="n">
        <v>46353</v>
      </c>
      <c r="F19" s="26" t="s">
        <v>126</v>
      </c>
      <c r="G19" s="77" t="n">
        <f aca="false">IF(F19="Complete",0,DATE(YEAR(E19),MONTH(E19),DAY(E19))-DATE(YEAR('Executive Summary'!$C$10),MONTH('Executive Summary'!$C$10),DAY('Executive Summary'!$C$10)))</f>
        <v>0</v>
      </c>
    </row>
    <row r="20" customFormat="false" ht="15" hidden="false" customHeight="false" outlineLevel="0" collapsed="false">
      <c r="B20" s="71" t="n">
        <v>2</v>
      </c>
      <c r="C20" s="4" t="s">
        <v>127</v>
      </c>
      <c r="D20" s="41" t="s">
        <v>109</v>
      </c>
      <c r="E20" s="72" t="n">
        <v>46409</v>
      </c>
      <c r="F20" s="78" t="s">
        <v>126</v>
      </c>
      <c r="G20" s="79" t="n">
        <f aca="false">IF(F20="Complete",0,DATE(YEAR(E20),MONTH(E20),DAY(E20))-DATE(YEAR('Executive Summary'!$C$10),MONTH('Executive Summary'!$C$10),DAY('Executive Summary'!$C$10)))</f>
        <v>0</v>
      </c>
    </row>
    <row r="21" customFormat="false" ht="15" hidden="false" customHeight="false" outlineLevel="0" collapsed="false">
      <c r="B21" s="69" t="n">
        <v>3</v>
      </c>
      <c r="C21" s="76" t="s">
        <v>128</v>
      </c>
      <c r="D21" s="36" t="s">
        <v>111</v>
      </c>
      <c r="E21" s="70" t="n">
        <v>46507</v>
      </c>
      <c r="F21" s="26" t="s">
        <v>129</v>
      </c>
      <c r="G21" s="77" t="n">
        <f aca="false">IF(F21="Complete",0,DATE(YEAR(E21),MONTH(E21),DAY(E21))-DATE(YEAR('Executive Summary'!$C$10),MONTH('Executive Summary'!$C$10),DAY('Executive Summary'!$C$10)))</f>
        <v>30</v>
      </c>
    </row>
    <row r="22" customFormat="false" ht="15" hidden="false" customHeight="false" outlineLevel="0" collapsed="false">
      <c r="B22" s="71" t="n">
        <v>4</v>
      </c>
      <c r="C22" s="4" t="s">
        <v>130</v>
      </c>
      <c r="D22" s="41" t="s">
        <v>113</v>
      </c>
      <c r="E22" s="72" t="n">
        <v>46521</v>
      </c>
      <c r="F22" s="78" t="s">
        <v>131</v>
      </c>
      <c r="G22" s="79" t="n">
        <f aca="false">IF(F22="Complete",0,DATE(YEAR(E22),MONTH(E22),DAY(E22))-DATE(YEAR('Executive Summary'!$C$10),MONTH('Executive Summary'!$C$10),DAY('Executive Summary'!$C$10)))</f>
        <v>44</v>
      </c>
    </row>
    <row r="23" customFormat="false" ht="15" hidden="false" customHeight="false" outlineLevel="0" collapsed="false">
      <c r="B23" s="69" t="n">
        <v>5</v>
      </c>
      <c r="C23" s="76" t="s">
        <v>132</v>
      </c>
      <c r="D23" s="36" t="s">
        <v>115</v>
      </c>
      <c r="E23" s="70" t="n">
        <v>46549</v>
      </c>
      <c r="F23" s="26" t="s">
        <v>133</v>
      </c>
      <c r="G23" s="77" t="n">
        <f aca="false">IF(F23="Complete",0,DATE(YEAR(E23),MONTH(E23),DAY(E23))-DATE(YEAR('Executive Summary'!$C$10),MONTH('Executive Summary'!$C$10),DAY('Executive Summary'!$C$10)))</f>
        <v>72</v>
      </c>
    </row>
    <row r="24" customFormat="false" ht="15" hidden="false" customHeight="false" outlineLevel="0" collapsed="false">
      <c r="B24" s="71" t="n">
        <v>6</v>
      </c>
      <c r="C24" s="4" t="s">
        <v>134</v>
      </c>
      <c r="D24" s="41" t="s">
        <v>117</v>
      </c>
      <c r="E24" s="72" t="n">
        <v>46584</v>
      </c>
      <c r="F24" s="78" t="s">
        <v>133</v>
      </c>
      <c r="G24" s="79" t="n">
        <f aca="false">IF(F24="Complete",0,DATE(YEAR(E24),MONTH(E24),DAY(E24))-DATE(YEAR('Executive Summary'!$C$10),MONTH('Executive Summary'!$C$10),DAY('Executive Summary'!$C$10)))</f>
        <v>107</v>
      </c>
    </row>
    <row r="25" customFormat="false" ht="15" hidden="false" customHeight="false" outlineLevel="0" collapsed="false">
      <c r="B25" s="69" t="n">
        <v>7</v>
      </c>
      <c r="C25" s="76" t="s">
        <v>135</v>
      </c>
      <c r="D25" s="36" t="s">
        <v>119</v>
      </c>
      <c r="E25" s="70" t="n">
        <v>46598</v>
      </c>
      <c r="F25" s="26" t="s">
        <v>133</v>
      </c>
      <c r="G25" s="77" t="n">
        <f aca="false">IF(F25="Complete",0,DATE(YEAR(E25),MONTH(E25),DAY(E25))-DATE(YEAR('Executive Summary'!$C$10),MONTH('Executive Summary'!$C$10),DAY('Executive Summary'!$C$10)))</f>
        <v>121</v>
      </c>
    </row>
  </sheetData>
  <mergeCells count="5">
    <mergeCell ref="B2:J2"/>
    <mergeCell ref="B3:J3"/>
    <mergeCell ref="B4:C4"/>
    <mergeCell ref="B14:H14"/>
    <mergeCell ref="B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E2EA"/>
    <pageSetUpPr fitToPage="false"/>
  </sheetPr>
  <dimension ref="B2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7" min="5" style="0" width="15"/>
    <col collapsed="false" customWidth="true" hidden="false" outlineLevel="0" max="8" min="8" style="0" width="16"/>
  </cols>
  <sheetData>
    <row r="2" customFormat="false" ht="33.75" hidden="false" customHeight="true" outlineLevel="0" collapsed="false">
      <c r="B2" s="31" t="s">
        <v>136</v>
      </c>
      <c r="C2" s="31"/>
      <c r="D2" s="31"/>
      <c r="E2" s="31"/>
      <c r="F2" s="31"/>
      <c r="G2" s="31"/>
      <c r="H2" s="31"/>
    </row>
    <row r="3" customFormat="false" ht="19.5" hidden="false" customHeight="true" outlineLevel="0" collapsed="false">
      <c r="B3" s="32" t="s">
        <v>137</v>
      </c>
      <c r="C3" s="32"/>
      <c r="D3" s="32"/>
      <c r="E3" s="32"/>
      <c r="F3" s="32"/>
      <c r="G3" s="32"/>
      <c r="H3" s="32"/>
    </row>
    <row r="5" customFormat="false" ht="31.5" hidden="false" customHeight="true" outlineLevel="0" collapsed="false">
      <c r="B5" s="20" t="s">
        <v>138</v>
      </c>
      <c r="C5" s="20" t="s">
        <v>139</v>
      </c>
      <c r="D5" s="20" t="s">
        <v>84</v>
      </c>
      <c r="E5" s="20" t="s">
        <v>140</v>
      </c>
      <c r="F5" s="20" t="s">
        <v>141</v>
      </c>
      <c r="G5" s="20" t="s">
        <v>142</v>
      </c>
      <c r="H5" s="20" t="s">
        <v>143</v>
      </c>
    </row>
    <row r="6" customFormat="false" ht="15" hidden="false" customHeight="false" outlineLevel="0" collapsed="false">
      <c r="B6" s="64" t="s">
        <v>144</v>
      </c>
      <c r="C6" s="80" t="n">
        <v>-0.1</v>
      </c>
      <c r="D6" s="60" t="n">
        <v>0.05</v>
      </c>
      <c r="E6" s="22" t="n">
        <f aca="false">'Cost Breakdown'!$C$29*(1+C6)</f>
        <v>526140</v>
      </c>
      <c r="F6" s="22" t="n">
        <f aca="false">'Cost Breakdown'!$C$34-'Cost Breakdown'!$C$29</f>
        <v>139350</v>
      </c>
      <c r="G6" s="40" t="n">
        <f aca="false">(E6+F6)*D6</f>
        <v>33274.5</v>
      </c>
      <c r="H6" s="81" t="n">
        <f aca="false">E6+F6+G6</f>
        <v>698764.5</v>
      </c>
    </row>
    <row r="7" customFormat="false" ht="15" hidden="false" customHeight="false" outlineLevel="0" collapsed="false">
      <c r="B7" s="73" t="s">
        <v>145</v>
      </c>
      <c r="C7" s="82" t="n">
        <v>0</v>
      </c>
      <c r="D7" s="62" t="n">
        <v>0.1</v>
      </c>
      <c r="E7" s="28" t="n">
        <f aca="false">'Cost Breakdown'!$C$29*(1+C7)</f>
        <v>584600</v>
      </c>
      <c r="F7" s="28" t="n">
        <f aca="false">'Cost Breakdown'!$C$34-'Cost Breakdown'!$C$29</f>
        <v>139350</v>
      </c>
      <c r="G7" s="45" t="n">
        <f aca="false">(E7+F7)*D7</f>
        <v>72395</v>
      </c>
      <c r="H7" s="83" t="n">
        <f aca="false">E7+F7+G7</f>
        <v>796345</v>
      </c>
    </row>
    <row r="8" customFormat="false" ht="15" hidden="false" customHeight="false" outlineLevel="0" collapsed="false">
      <c r="B8" s="64" t="s">
        <v>146</v>
      </c>
      <c r="C8" s="80" t="n">
        <v>0.15</v>
      </c>
      <c r="D8" s="60" t="n">
        <v>0.15</v>
      </c>
      <c r="E8" s="22" t="n">
        <f aca="false">'Cost Breakdown'!$C$29*(1+C8)</f>
        <v>672290</v>
      </c>
      <c r="F8" s="22" t="n">
        <f aca="false">'Cost Breakdown'!$C$34-'Cost Breakdown'!$C$29</f>
        <v>139350</v>
      </c>
      <c r="G8" s="40" t="n">
        <f aca="false">(E8+F8)*D8</f>
        <v>121746</v>
      </c>
      <c r="H8" s="81" t="n">
        <f aca="false">E8+F8+G8</f>
        <v>933386</v>
      </c>
    </row>
    <row r="10" customFormat="false" ht="15" hidden="false" customHeight="false" outlineLevel="0" collapsed="false">
      <c r="B10" s="30" t="s">
        <v>147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D1B"/>
    <pageSetUpPr fitToPage="true"/>
  </sheetPr>
  <dimension ref="B2:Q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7" min="2" style="0" width="10.51"/>
  </cols>
  <sheetData>
    <row r="2" customFormat="false" ht="39.75" hidden="false" customHeight="true" outlineLevel="0" collapsed="false">
      <c r="B2" s="1" t="s">
        <v>148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customFormat="false" ht="15" hidden="false" customHeight="false" outlineLevel="0" collapsed="false">
      <c r="B3" s="84" t="str">
        <f aca="false">"Status as of "&amp;TEXT('Executive Summary'!$C$10,"mmmm d, yyyy")&amp;"   ·   Health: "&amp;'Executive Summary'!I13</f>
        <v>Status as of March 31, 2027   ·   Health: At Risk</v>
      </c>
    </row>
    <row r="5" customFormat="false" ht="18" hidden="false" customHeight="true" outlineLevel="0" collapsed="false">
      <c r="B5" s="85" t="s">
        <v>149</v>
      </c>
      <c r="C5" s="85"/>
      <c r="D5" s="85"/>
      <c r="F5" s="86" t="s">
        <v>150</v>
      </c>
      <c r="G5" s="86"/>
      <c r="H5" s="86"/>
      <c r="J5" s="87" t="s">
        <v>151</v>
      </c>
      <c r="K5" s="87"/>
      <c r="L5" s="87"/>
      <c r="N5" s="88" t="s">
        <v>152</v>
      </c>
      <c r="O5" s="88"/>
      <c r="P5" s="88"/>
    </row>
    <row r="6" customFormat="false" ht="21.75" hidden="false" customHeight="true" outlineLevel="0" collapsed="false">
      <c r="B6" s="89" t="n">
        <f aca="false">'Cost Breakdown'!G24</f>
        <v>796345</v>
      </c>
      <c r="C6" s="89"/>
      <c r="D6" s="89"/>
      <c r="F6" s="90" t="n">
        <f aca="false">'Cost Breakdown'!H24</f>
        <v>370100</v>
      </c>
      <c r="G6" s="90"/>
      <c r="H6" s="90"/>
      <c r="J6" s="91" t="n">
        <f aca="false">'Timeline &amp; Milestones'!I14</f>
        <v>0.468680089485459</v>
      </c>
      <c r="K6" s="91"/>
      <c r="L6" s="91"/>
      <c r="N6" s="92" t="str">
        <f aca="false">'Executive Summary'!I11</f>
        <v>2 of 7</v>
      </c>
      <c r="O6" s="92"/>
      <c r="P6" s="92"/>
    </row>
    <row r="7" customFormat="false" ht="21.75" hidden="false" customHeight="true" outlineLevel="0" collapsed="false">
      <c r="B7" s="89"/>
      <c r="C7" s="89"/>
      <c r="D7" s="89"/>
      <c r="F7" s="90"/>
      <c r="G7" s="90"/>
      <c r="H7" s="90"/>
      <c r="J7" s="91"/>
      <c r="K7" s="91"/>
      <c r="L7" s="91"/>
      <c r="N7" s="92"/>
      <c r="O7" s="92"/>
      <c r="P7" s="92"/>
    </row>
    <row r="8" customFormat="false" ht="19.5" hidden="false" customHeight="true" outlineLevel="0" collapsed="false">
      <c r="B8" s="93" t="str">
        <f aca="false">"incl. "&amp;TEXT('Cost Breakdown'!$C$5,"0%")&amp;" contingency"</f>
        <v>incl. 10% contingency</v>
      </c>
      <c r="C8" s="93"/>
      <c r="D8" s="93"/>
      <c r="F8" s="94" t="str">
        <f aca="false">TEXT('Executive Summary'!I9,"0.0%")&amp;" of budget"</f>
        <v>46.5% of budget</v>
      </c>
      <c r="G8" s="94"/>
      <c r="H8" s="94"/>
      <c r="J8" s="95" t="str">
        <f aca="false">'Executive Summary'!I12&amp;" overdue phase(s)"</f>
        <v>1 overdue phase(s)</v>
      </c>
      <c r="K8" s="95"/>
      <c r="L8" s="95"/>
      <c r="N8" s="96" t="str">
        <f aca="false">"Next: "&amp;IFERROR(VLOOKUP(COUNTIF('Timeline &amp; Milestones'!F19:F25,"Complete")+1,'Timeline &amp; Milestones'!B19:C25,2,FALSE()),"—")</f>
        <v>Next: Beta release</v>
      </c>
      <c r="O8" s="96"/>
      <c r="P8" s="96"/>
    </row>
  </sheetData>
  <mergeCells count="13">
    <mergeCell ref="B2:Q2"/>
    <mergeCell ref="B5:D5"/>
    <mergeCell ref="F5:H5"/>
    <mergeCell ref="J5:L5"/>
    <mergeCell ref="N5:P5"/>
    <mergeCell ref="B6:D7"/>
    <mergeCell ref="F6:H7"/>
    <mergeCell ref="J6:L7"/>
    <mergeCell ref="N6:P7"/>
    <mergeCell ref="B8:D8"/>
    <mergeCell ref="F8:H8"/>
    <mergeCell ref="J8:L8"/>
    <mergeCell ref="N8:P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2026-10-05T16:52:40Z</dcterms:created>
  <dc:creator>openpyxl</dc:creator>
  <dc:description/>
  <dc:language>en-US</dc:language>
  <cp:lastModifiedBy/>
  <dcterms:modified xsi:type="dcterms:W3CDTF">2026-10-05T12:52:42Z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